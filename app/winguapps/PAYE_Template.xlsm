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DELL\Desktop\bcl-portal-2024\kra-tools\app\winguapps\"/>
    </mc:Choice>
  </mc:AlternateContent>
  <xr:revisionPtr revIDLastSave="0" documentId="13_ncr:1_{9ED9654E-2D1F-4018-8B6A-C87CD9509FFF}" xr6:coauthVersionLast="47" xr6:coauthVersionMax="47" xr10:uidLastSave="{00000000-0000-0000-0000-000000000000}"/>
  <bookViews>
    <workbookView xWindow="4395" yWindow="4365" windowWidth="21600" windowHeight="11835" tabRatio="842" firstSheet="6" activeTab="6" xr2:uid="{1F475DED-401E-48BC-B3B1-BB1320504554}"/>
  </bookViews>
  <sheets>
    <sheet name="Read Me" sheetId="1" r:id="rId1"/>
    <sheet name="Errors" sheetId="2" r:id="rId2"/>
    <sheet name="ImportCsv" sheetId="4" state="hidden" r:id="rId3"/>
    <sheet name="Validations" sheetId="5" state="hidden" r:id="rId4"/>
    <sheet name="ValidationList" sheetId="6" state="hidden" r:id="rId5"/>
    <sheet name="Macros_Disabled" sheetId="20" state="hidden" r:id="rId6"/>
    <sheet name="A_Basic_Info" sheetId="7" r:id="rId7"/>
    <sheet name="B_Employees_Dtls" sheetId="8" r:id="rId8"/>
    <sheet name="C_Disabled_Employees_Dtls" sheetId="9" r:id="rId9"/>
    <sheet name="D_Computation_of_Car_Benefit" sheetId="10" r:id="rId10"/>
    <sheet name="Data" sheetId="3" state="hidden" r:id="rId11"/>
    <sheet name="E_Computation_of_Insu_Relief" sheetId="11" r:id="rId12"/>
    <sheet name="F_Lump_Sum_Payments_Dtls" sheetId="12" r:id="rId13"/>
    <sheet name="G_Arrears_Dtls_E" sheetId="13" r:id="rId14"/>
    <sheet name="H_Arrears_Dtls_DE" sheetId="14" r:id="rId15"/>
    <sheet name="I_Gratuity_Dtls" sheetId="15" r:id="rId16"/>
    <sheet name="J_FBT_Dtls" sheetId="16" r:id="rId17"/>
    <sheet name="K_PAYE_Payment_Credits" sheetId="17" r:id="rId18"/>
    <sheet name="M_Affordable Housing Levy_Dtls" sheetId="21" r:id="rId19"/>
    <sheet name="M1_NITA_Levy_Dtls" sheetId="24" state="hidden" r:id="rId20"/>
    <sheet name="N_Tax_Due" sheetId="18" r:id="rId21"/>
    <sheet name="Sheet1" sheetId="19" state="veryHidden" r:id="rId22"/>
  </sheets>
  <functionGroups builtInGroupCount="19"/>
  <definedNames>
    <definedName name="_Yr2007">Data!$K$13:$M$16</definedName>
    <definedName name="ArrearsDsblEmpPIN">H_Arrears_Dtls_DE!$A$5:$A$6</definedName>
    <definedName name="ArrearsEmpPIN">G_Arrears_Dtls_E!$A$5:$A$6</definedName>
    <definedName name="BodyType">Data!$Q$2:$Q$4</definedName>
    <definedName name="BodyTypeCode">Data!$R$2:$R$4</definedName>
    <definedName name="Boolean">Data!$C$2:$C$3</definedName>
    <definedName name="CalPayeTaxPyblOnGratI.List">I_Gratuity_Dtls!$A$3:$J$4</definedName>
    <definedName name="CalPayeTaxPyblOnGratII.List">I_Gratuity_Dtls!$A$10:$I$11</definedName>
    <definedName name="CalPayeTaxPyblOnGratIListTO">I_Gratuity_Dtls!$H$5</definedName>
    <definedName name="CarBenefit.List">D_Computation_of_Car_Benefit!$A$3:$M$4</definedName>
    <definedName name="CarBenefitListTO">D_Computation_of_Car_Benefit!$J$5</definedName>
    <definedName name="CarBnftUnq">D_Computation_of_Car_Benefit!$N$3:$N$4</definedName>
    <definedName name="CarBnftValue">D_Computation_of_Car_Benefit!$J$3:$J$4</definedName>
    <definedName name="CarType">Data!$N$2:$N$3</definedName>
    <definedName name="CarTypeCode">Data!$M$2:$M$3</definedName>
    <definedName name="ClcTaxDue.ArrDsblEmpTO">N_Tax_Due!$C$8</definedName>
    <definedName name="ClcTaxDue.ArrEmpTO">N_Tax_Due!$C$7</definedName>
    <definedName name="ClcTaxDue.DsblEmpTO">N_Tax_Due!$C$5</definedName>
    <definedName name="ClcTaxDue.EmpTO">N_Tax_Due!$C$4</definedName>
    <definedName name="ClcTaxDue.FringeBenfTO">N_Tax_Due!$C$10</definedName>
    <definedName name="ClcTaxDue.GratListTO">N_Tax_Due!$C$9</definedName>
    <definedName name="ClcTaxDue.LumpSumTO">N_Tax_Due!$C$6</definedName>
    <definedName name="ClcTaxDue.NetPayeTaxPybl">N_Tax_Due!$C$16</definedName>
    <definedName name="ClcTaxDue.PrevMonPaye">N_Tax_Due!$C$12</definedName>
    <definedName name="ClcTaxDue.TaxAdvPdTO">N_Tax_Due!$C$15</definedName>
    <definedName name="ClcTaxDue.TaxDedEmpWithoutPin">N_Tax_Due!$C$13</definedName>
    <definedName name="ClcTaxDue.totalHousingContribution">N_Tax_Due!$C$18</definedName>
    <definedName name="ClcTaxDue.totalNITAContribution">N_Tax_Due!$C$20</definedName>
    <definedName name="ClcTaxDue.TotEmpRcrds">N_Tax_Due!$C$3</definedName>
    <definedName name="ClcTaxDue.TotHousingLevyMemb">N_Tax_Due!$C$17</definedName>
    <definedName name="ClcTaxDue.TotNITALevyMemb">N_Tax_Due!$C$19</definedName>
    <definedName name="ClcTaxDue.TotPayeTaxPybl">N_Tax_Due!$C$11</definedName>
    <definedName name="ClcTaxDue.TotTaxPybl">N_Tax_Due!$C$14</definedName>
    <definedName name="DtlsArrSalPdBftsPayeDedFrmDsblEmp.List">H_Arrears_Dtls_DE!$A$5:$AT$6</definedName>
    <definedName name="DtlsArrSalPdBftsPayeDedFrmDsblEmpListTO">H_Arrears_Dtls_DE!$AN$7</definedName>
    <definedName name="DtlsArrSalPdBftsPayeDedFrmEmp.List">G_Arrears_Dtls_E!$A$5:$AR$6</definedName>
    <definedName name="DtlsArrSalPdBftsPayeDedFrmEmpListTO">G_Arrears_Dtls_E!$AL$7</definedName>
    <definedName name="DtlsArrSalPdBftsPayeSelfPayeListTO">H_Arrears_Dtls_DE!$AO$7</definedName>
    <definedName name="DtlsPaye.SelfAssTaxPaidList">K_PAYE_Payment_Credits!$A$10:$D$11</definedName>
    <definedName name="DtlsPaye.TaxPaidAdvList">K_PAYE_Payment_Credits!$A$4:$D$5</definedName>
    <definedName name="DtlsPayeFinalTaxPdTO">K_PAYE_Payment_Credits!$C$13</definedName>
    <definedName name="DtlsPayeSelfAssTaxListTO">K_PAYE_Payment_Credits!$C$12</definedName>
    <definedName name="DtlsPayeTaxPaidAdvListTO">K_PAYE_Payment_Credits!$C$6</definedName>
    <definedName name="DtlsSalPdArrearDEListTO">G_Arrears_Dtls_E!$AM$7</definedName>
    <definedName name="DtlsSalPdBftsPayeDedFrmDsblEmp.List">C_Disabled_Employees_Dtls!$A$5:$AO$6</definedName>
    <definedName name="DtlsSalPdBftsPayeDedFrmDsblEmpListTO">C_Disabled_Employees_Dtls!$AJ$8</definedName>
    <definedName name="DtlsSalPdBftsPayeDedFrmEmp.List">B_Employees_Dtls!$A$5:$AM$6</definedName>
    <definedName name="DtlsSalPdBftsPayeDedFrmEmpListTO">B_Employees_Dtls!$AH$7</definedName>
    <definedName name="DtlsSalPdBftsSelfPayTaxDEListTO">C_Disabled_Employees_Dtls!$AK$8</definedName>
    <definedName name="DtlsSalPdBftsSelfPayTaxListTO">B_Employees_Dtls!$AI$7</definedName>
    <definedName name="EntityCode">Data!$V$2:$V$3</definedName>
    <definedName name="EntityType">Data!$U$2:$U$3</definedName>
    <definedName name="EntityTypeCodeCol">Data!$V$17</definedName>
    <definedName name="formId">Data!$A$42</definedName>
    <definedName name="FringeBenf.TaxCalcList">J_FBT_Dtls!$A$3:$K$4</definedName>
    <definedName name="FringeBenfTaxCalcListTO">J_FBT_Dtls!$K$5</definedName>
    <definedName name="genXML">Data!$A$48</definedName>
    <definedName name="GratuityPIN">I_Gratuity_Dtls!$A$10:$A$11</definedName>
    <definedName name="HolderPolicy">Data!$H$8:$H$10</definedName>
    <definedName name="HolderPolicyCode">Data!$I$8:$I$10</definedName>
    <definedName name="HousingLevyDtls">'M_Affordable Housing Levy_Dtls'!$A$3:$H$4</definedName>
    <definedName name="HousinglevyTo">'M_Affordable Housing Levy_Dtls'!$H$5</definedName>
    <definedName name="InsReliefDtls.List">E_Computation_of_Insu_Relief!$A$3:$Q$4</definedName>
    <definedName name="InsReliefDtlsListTO">E_Computation_of_Insu_Relief!$N$5</definedName>
    <definedName name="InsReliefPINEmp">E_Computation_of_Insu_Relief!$A$3:$A$4</definedName>
    <definedName name="InsReliefUnq">E_Computation_of_Insu_Relief!$Q$3:$Q$4</definedName>
    <definedName name="InsReliefValue">E_Computation_of_Insu_Relief!$M$3:$M$4</definedName>
    <definedName name="labelForMonthlyPerReliefB">B_Employees_Dtls!$AF$4</definedName>
    <definedName name="labelForMonthlyPerReliefC">C_Disabled_Employees_Dtls!$AH$4</definedName>
    <definedName name="labelForMonthlyPerReliefG">G_Arrears_Dtls_E!$AH$4</definedName>
    <definedName name="labelForMonthlyPerReliefH">H_Arrears_Dtls_DE!$AJ$4</definedName>
    <definedName name="labelForYearChangeSecB">B_Employees_Dtls!$AA$4</definedName>
    <definedName name="labelForYearChangeSecC">C_Disabled_Employees_Dtls!$AB$4</definedName>
    <definedName name="labelForYearChangeSecG">G_Arrears_Dtls_E!$AC$4</definedName>
    <definedName name="labelForYearChangeSecH">H_Arrears_Dtls_DE!$AD$4</definedName>
    <definedName name="moduleId">Data!$A$41</definedName>
    <definedName name="MonthCode">Data!$B$7:$B$18</definedName>
    <definedName name="MonthList">Data!$A$7:$A$18</definedName>
    <definedName name="MsgAlpha">Data!$C$28</definedName>
    <definedName name="MsgAlpNum">Data!$C$27</definedName>
    <definedName name="MsgAlpNumSpl">Data!$C$26</definedName>
    <definedName name="MsgDateFrmt">Data!$C$21</definedName>
    <definedName name="MsgEmpEndDt">Data!$C$32</definedName>
    <definedName name="MsgEmpStrtDt">Data!$C$31</definedName>
    <definedName name="MsgFutureDt">Data!$C$23</definedName>
    <definedName name="MsgMandat">Data!$C$29</definedName>
    <definedName name="MsgNum">Data!$C$25</definedName>
    <definedName name="MsgPINDup">Data!$C$24</definedName>
    <definedName name="msgPositvNum">Data!$C$30</definedName>
    <definedName name="MsgRtnMonth">Data!$C$35</definedName>
    <definedName name="MsgRtnPrdDt">Data!$C$22</definedName>
    <definedName name="MsgYearVal1">Data!$C$33</definedName>
    <definedName name="MsgYearVal2">Data!$C$34</definedName>
    <definedName name="NITALevyDtls">M1_NITA_Levy_Dtls!$A$3:$D$4</definedName>
    <definedName name="NITAlevyTo">M1_NITA_Levy_Dtls!$D$5</definedName>
    <definedName name="obligationId">Data!$A$43</definedName>
    <definedName name="officeVersion">Data!$A$45</definedName>
    <definedName name="OtherYear">Data!$B$21:$B$46</definedName>
    <definedName name="OtherYear2">Data!$E$21:$E$45</definedName>
    <definedName name="PINSrNo">I_Gratuity_Dtls!$J$3:$J$4</definedName>
    <definedName name="PolicyCode">Data!$F$7:$F$9</definedName>
    <definedName name="PurposeOfPolicy">Data!$E$7:$E$9</definedName>
    <definedName name="RefSchedules">Data!$K$2:$K$5</definedName>
    <definedName name="RefSchedulesCode">Data!$L$2:$L$5</definedName>
    <definedName name="ResidentStatus">Data!$G$16:$G$17</definedName>
    <definedName name="ResidentStatusC">B_Employees_Dtls!$C$5:$C$6</definedName>
    <definedName name="ResidentStatusCode">Data!$H$16:$H$17</definedName>
    <definedName name="ResidentStatusD">C_Disabled_Employees_Dtls!$C$5:$C$6</definedName>
    <definedName name="ResidentStatusH">G_Arrears_Dtls_E!$E$5:$E$6</definedName>
    <definedName name="ResidentStatusI">H_Arrears_Dtls_DE!$E$5:$E$6</definedName>
    <definedName name="RetInf.arrearStartDate">A_Basic_Info!$C$9</definedName>
    <definedName name="RetInf.DatePaymentStartDate">A_Basic_Info!$A$8</definedName>
    <definedName name="RetInf.DepositStartDate">A_Basic_Info!$C$8</definedName>
    <definedName name="ReturnType">Data!$A$2:$A$3</definedName>
    <definedName name="ReturnTypeCode">Data!$B$2:$B$3</definedName>
    <definedName name="RtnInf.EntityCode">A_Basic_Info!$C$3</definedName>
    <definedName name="RtnInf.EntityType">A_Basic_Info!$B$5</definedName>
    <definedName name="RtnInf.Month">A_Basic_Info!$B$9</definedName>
    <definedName name="RtnInf.MonthCode">A_Basic_Info!$C$4</definedName>
    <definedName name="RtnInf.ReturnType">A_Basic_Info!$B$4</definedName>
    <definedName name="RtnInf.RtnMonth">A_Basic_Info!$A$9</definedName>
    <definedName name="RtnInf.RtnPrdFrom">A_Basic_Info!$B$6</definedName>
    <definedName name="RtnInf.RtnPrdTo">A_Basic_Info!$B$7</definedName>
    <definedName name="RtnInf.RtnPrdToAct">A_Basic_Info!$C$7</definedName>
    <definedName name="RtnInf.RtnPrdToActStart">A_Basic_Info!$C$6</definedName>
    <definedName name="RtnInf.RtnYear">A_Basic_Info!$B$8</definedName>
    <definedName name="RtnInf.TaxPayersPIN">A_Basic_Info!$B$3</definedName>
    <definedName name="SalDedDsbEmpPIN">C_Disabled_Employees_Dtls!$A$5:$A$6</definedName>
    <definedName name="SalDedEmpPIN">B_Employees_Dtls!$A$5:$A$6</definedName>
    <definedName name="SlabRate1998">Data!$AB$72:$AD$76</definedName>
    <definedName name="SlabRate1999">Data!$AB$67:$AD$71</definedName>
    <definedName name="SlabRate2000">Data!$AB$2:$AD$6</definedName>
    <definedName name="SlabRate2001">Data!$AB$7:$AD$11</definedName>
    <definedName name="SlabRate2002">Data!$AB$12:$AD$16</definedName>
    <definedName name="SlabRate2003">Data!$AB$17:$AD$21</definedName>
    <definedName name="SlabRate2004">Data!$AB$22:$AD$26</definedName>
    <definedName name="SlabRate2005">Data!$AB$27:$AD$31</definedName>
    <definedName name="SlabRate2006">Data!$AB$32:$AD$36</definedName>
    <definedName name="SlabRate2007">Data!$AB$37:$AD$41</definedName>
    <definedName name="SlabRate2008">Data!$AB$42:$AD$46</definedName>
    <definedName name="SlabRate2009">Data!$AB$47:$AD$51</definedName>
    <definedName name="SlabRate2010">Data!$AB$52:$AD$56</definedName>
    <definedName name="SlabRate2011">Data!$AB$57:$AD$61</definedName>
    <definedName name="SlabRate2012">Data!$AB$62:$AD$66</definedName>
    <definedName name="SlabRate2013">Data!$AB$77:$AD$81</definedName>
    <definedName name="SlabRate2014">Data!$AB$82:$AD$86</definedName>
    <definedName name="SlabRate2015">Data!$AB$87:$AD$91</definedName>
    <definedName name="SlabRate2016">Data!$AB$92:$AD$96</definedName>
    <definedName name="SlabRate2017">Data!$AB$97:$AD$101</definedName>
    <definedName name="SlabRate2018">Data!$AB$102:$AD$106</definedName>
    <definedName name="SlabRate2019">Data!$AB$107:$AD$111</definedName>
    <definedName name="SlabRate2020">Data!$AB$112:$AD$116</definedName>
    <definedName name="SlabRate2021">Data!$AB$117:$AD$119</definedName>
    <definedName name="SlabRate2022">Data!$AB$120:$AD$122</definedName>
    <definedName name="SlabRate2023">Data!$AB$123:$AD$127</definedName>
    <definedName name="SlabRate2024">Data!$AB$128:$AD$132</definedName>
    <definedName name="SortedBodyType">Data!$S$2:$S$4</definedName>
    <definedName name="SortedCarType">Data!$O$2:$O$3</definedName>
    <definedName name="SortedEntityType">Data!$W$2:$W$3</definedName>
    <definedName name="SortedMonthList">Data!$C$7:$C$18</definedName>
    <definedName name="SortedResidentStatus">Data!$F$16:$F$17</definedName>
    <definedName name="SortedResidentStatustemp">Data!$I$16:$I$17</definedName>
    <definedName name="SortedTypeOfHousing">Data!$I$2:$I$6</definedName>
    <definedName name="TaxPayable">I_Gratuity_Dtls!$H$10:$H$11</definedName>
    <definedName name="TaxPdOnLumpSumPdAftrTrmtn.List">F_Lump_Sum_Payments_Dtls!$A$3:$L$4</definedName>
    <definedName name="TaxPdOnLumpSumPdAftrTrmtnListTO">F_Lump_Sum_Payments_Dtls!$L$5</definedName>
    <definedName name="templateInfo.formId">A_Basic_Info!$B$12</definedName>
    <definedName name="templateInfo.moduleId">A_Basic_Info!$A$12</definedName>
    <definedName name="templateInfo.obligId">A_Basic_Info!$B$10</definedName>
    <definedName name="templateInfo.ofcVrsn">A_Basic_Info!$B$11</definedName>
    <definedName name="templateInfo.tempType">A_Basic_Info!$A$11</definedName>
    <definedName name="templateInfo.tempVrsn">A_Basic_Info!$A$10</definedName>
    <definedName name="templateType">Data!$A$44</definedName>
    <definedName name="TotHousingMembers">'M_Affordable Housing Levy_Dtls'!$M$5</definedName>
    <definedName name="TotHousingMembersLst">'M_Affordable Housing Levy_Dtls'!$I$3:$I$4</definedName>
    <definedName name="TotNITAMembers">M1_NITA_Levy_Dtls!$E$5</definedName>
    <definedName name="TypeOFEmp">Data!$D$2:$D$3</definedName>
    <definedName name="TypeOFEmpCode">Data!$E$2:$E$3</definedName>
    <definedName name="TypeOfHousing">Data!$G$2:$G$6</definedName>
    <definedName name="TypeOfHousingCode">Data!$H$2:$H$6</definedName>
    <definedName name="visibleSheetsArr">Data!$A$55</definedName>
    <definedName name="YearList">Data!$A$21:$A$40</definedName>
  </definedNames>
  <calcPr calcId="191029"/>
</workbook>
</file>

<file path=xl/calcChain.xml><?xml version="1.0" encoding="utf-8"?>
<calcChain xmlns="http://schemas.openxmlformats.org/spreadsheetml/2006/main">
  <c r="A1028" i="4" l="1"/>
  <c r="B1027" i="4"/>
  <c r="A1027" i="4"/>
  <c r="A1364" i="4"/>
  <c r="B1363" i="4"/>
  <c r="A1363" i="4"/>
  <c r="A1332" i="4"/>
  <c r="B1331" i="4"/>
  <c r="A1316" i="4"/>
  <c r="C1315" i="4"/>
  <c r="A1296" i="4"/>
  <c r="D1295" i="4"/>
  <c r="C1295" i="4"/>
  <c r="C963" i="4"/>
  <c r="A964" i="4"/>
  <c r="D963" i="4"/>
  <c r="A984" i="4"/>
  <c r="C983" i="4"/>
  <c r="A1000" i="4"/>
  <c r="B999" i="4"/>
  <c r="A539" i="4"/>
  <c r="B538" i="4"/>
  <c r="A523" i="4"/>
  <c r="C522" i="4"/>
  <c r="A503" i="4"/>
  <c r="C502" i="4"/>
  <c r="A237" i="4"/>
  <c r="B236" i="4"/>
  <c r="A221" i="4"/>
  <c r="C220" i="4"/>
  <c r="A201" i="4"/>
  <c r="C200" i="4"/>
  <c r="AF6" i="14"/>
  <c r="AF5" i="14"/>
  <c r="AL6" i="14"/>
  <c r="AL5" i="14"/>
  <c r="AJ6" i="13"/>
  <c r="AJ5" i="13"/>
  <c r="AE6" i="13"/>
  <c r="AE5" i="13"/>
  <c r="AJ6" i="9"/>
  <c r="AJ5" i="9"/>
  <c r="AD5" i="9"/>
  <c r="AD6" i="9"/>
  <c r="AH6" i="8"/>
  <c r="AH8" i="8"/>
  <c r="AH5" i="8"/>
  <c r="AC6" i="8"/>
  <c r="AC5" i="8"/>
  <c r="A1451" i="4"/>
  <c r="F4" i="21"/>
  <c r="F3" i="21"/>
  <c r="G3" i="21"/>
  <c r="H3" i="21"/>
  <c r="H5" i="21"/>
  <c r="C18" i="18" s="1"/>
  <c r="C17" i="18" s="1"/>
  <c r="A1490" i="4"/>
  <c r="A11" i="15"/>
  <c r="F11" i="15" s="1"/>
  <c r="H11" i="15"/>
  <c r="A10" i="15"/>
  <c r="K10" i="15" s="1"/>
  <c r="A999" i="4"/>
  <c r="B963" i="4"/>
  <c r="A963" i="4"/>
  <c r="A959" i="4"/>
  <c r="D5" i="24"/>
  <c r="E4" i="24"/>
  <c r="E5" i="24"/>
  <c r="E3" i="24"/>
  <c r="A1498" i="4"/>
  <c r="A1494" i="4"/>
  <c r="AI6" i="14"/>
  <c r="AI5" i="14"/>
  <c r="AG6" i="13"/>
  <c r="A9" i="7"/>
  <c r="N5" i="9"/>
  <c r="Y5" i="9"/>
  <c r="Q5" i="9"/>
  <c r="N6" i="9"/>
  <c r="Y6" i="9"/>
  <c r="M4" i="21"/>
  <c r="M3" i="21"/>
  <c r="A1459" i="4"/>
  <c r="A1455" i="4"/>
  <c r="G4" i="21"/>
  <c r="H4" i="21"/>
  <c r="AG6" i="14"/>
  <c r="AG5" i="14"/>
  <c r="B8" i="7"/>
  <c r="V10" i="6"/>
  <c r="T10" i="6"/>
  <c r="J4" i="10"/>
  <c r="J3" i="10"/>
  <c r="C90" i="6"/>
  <c r="B90" i="6"/>
  <c r="Y8" i="6"/>
  <c r="C3" i="18"/>
  <c r="C12" i="17"/>
  <c r="C6" i="17"/>
  <c r="B1159" i="4"/>
  <c r="B835" i="4"/>
  <c r="B723" i="4"/>
  <c r="B718" i="4"/>
  <c r="B10" i="7"/>
  <c r="B11" i="7"/>
  <c r="B12" i="7"/>
  <c r="A12" i="7"/>
  <c r="A11" i="7"/>
  <c r="A10" i="7"/>
  <c r="A675" i="4"/>
  <c r="A1427" i="4"/>
  <c r="A1355" i="4"/>
  <c r="A562" i="4"/>
  <c r="A671" i="4"/>
  <c r="A739" i="4"/>
  <c r="A558" i="4"/>
  <c r="A256" i="4"/>
  <c r="A1423" i="4"/>
  <c r="A1351" i="4"/>
  <c r="A1019" i="4"/>
  <c r="D4" i="17"/>
  <c r="D5" i="17"/>
  <c r="D10" i="17"/>
  <c r="D11" i="17"/>
  <c r="G3" i="16"/>
  <c r="I3" i="16"/>
  <c r="G4" i="16"/>
  <c r="I4" i="16"/>
  <c r="I3" i="15"/>
  <c r="J3" i="15"/>
  <c r="I4" i="15"/>
  <c r="J4" i="15"/>
  <c r="P5" i="14"/>
  <c r="AA5" i="14"/>
  <c r="S5" i="14"/>
  <c r="AC5" i="14"/>
  <c r="AP5" i="14"/>
  <c r="AQ5" i="14"/>
  <c r="W5" i="14"/>
  <c r="Y5" i="14"/>
  <c r="Z5" i="14"/>
  <c r="AH5" i="14"/>
  <c r="AR5" i="14"/>
  <c r="AS5" i="14"/>
  <c r="AT5" i="14"/>
  <c r="P6" i="14"/>
  <c r="AA6" i="14"/>
  <c r="S6" i="14"/>
  <c r="AC6" i="14"/>
  <c r="AP6" i="14"/>
  <c r="AQ6" i="14"/>
  <c r="W6" i="14"/>
  <c r="Y6" i="14"/>
  <c r="Z6" i="14"/>
  <c r="AR6" i="14"/>
  <c r="AS6" i="14"/>
  <c r="AT6" i="14"/>
  <c r="AO7" i="14"/>
  <c r="C8" i="18" s="1"/>
  <c r="O5" i="13"/>
  <c r="Z5" i="13"/>
  <c r="R5" i="13"/>
  <c r="AB5" i="13"/>
  <c r="AN5" i="13"/>
  <c r="AO5" i="13"/>
  <c r="V5" i="13"/>
  <c r="X5" i="13"/>
  <c r="AP5" i="13"/>
  <c r="AQ5" i="13"/>
  <c r="AR5" i="13"/>
  <c r="O6" i="13"/>
  <c r="R6" i="13"/>
  <c r="V6" i="13"/>
  <c r="X6" i="13"/>
  <c r="Y6" i="13"/>
  <c r="Z6" i="13"/>
  <c r="AB6" i="13"/>
  <c r="AF6" i="13"/>
  <c r="AL6" i="13"/>
  <c r="AN6" i="13"/>
  <c r="AO6" i="13"/>
  <c r="AP6" i="13"/>
  <c r="AQ6" i="13"/>
  <c r="AR6" i="13"/>
  <c r="AM7" i="13"/>
  <c r="C7" i="18" s="1"/>
  <c r="I3" i="12"/>
  <c r="I4" i="12"/>
  <c r="O3" i="11"/>
  <c r="P3" i="11"/>
  <c r="Q3" i="11"/>
  <c r="R3" i="11"/>
  <c r="O4" i="11"/>
  <c r="P4" i="11"/>
  <c r="Q4" i="11"/>
  <c r="R4" i="11"/>
  <c r="N5" i="11"/>
  <c r="K3" i="10"/>
  <c r="L3" i="10"/>
  <c r="M3" i="10"/>
  <c r="N3" i="10"/>
  <c r="O3" i="10"/>
  <c r="K4" i="10"/>
  <c r="L4" i="10"/>
  <c r="M4" i="10"/>
  <c r="N4" i="10"/>
  <c r="O4" i="10"/>
  <c r="AA5" i="9"/>
  <c r="AE5" i="9"/>
  <c r="AL5" i="9"/>
  <c r="AM5" i="9"/>
  <c r="U5" i="9"/>
  <c r="W5" i="9"/>
  <c r="AN5" i="9"/>
  <c r="AO5" i="9"/>
  <c r="Q6" i="9"/>
  <c r="U6" i="9"/>
  <c r="W6" i="9"/>
  <c r="X6" i="9"/>
  <c r="AF6" i="9"/>
  <c r="AG6" i="9"/>
  <c r="AA6" i="9"/>
  <c r="AE6" i="9"/>
  <c r="AL6" i="9"/>
  <c r="AM6" i="9"/>
  <c r="AN6" i="9"/>
  <c r="AO6" i="9"/>
  <c r="AK8" i="9"/>
  <c r="C5" i="18" s="1"/>
  <c r="M5" i="8"/>
  <c r="X5" i="8"/>
  <c r="P5" i="8"/>
  <c r="Z5" i="8"/>
  <c r="AJ5" i="8"/>
  <c r="AK5" i="8"/>
  <c r="T5" i="8"/>
  <c r="V5" i="8"/>
  <c r="AL5" i="8"/>
  <c r="AM5" i="8"/>
  <c r="M6" i="8"/>
  <c r="X6" i="8"/>
  <c r="P6" i="8"/>
  <c r="Z6" i="8"/>
  <c r="AJ6" i="8"/>
  <c r="AK6" i="8"/>
  <c r="T6" i="8"/>
  <c r="V6" i="8"/>
  <c r="AL6" i="8"/>
  <c r="AM6" i="8"/>
  <c r="AI7" i="8"/>
  <c r="C4" i="18" s="1"/>
  <c r="AI8" i="8"/>
  <c r="B6" i="6"/>
  <c r="C6" i="6"/>
  <c r="D6" i="6"/>
  <c r="E6" i="6"/>
  <c r="F6" i="6"/>
  <c r="G6" i="6"/>
  <c r="H6" i="6"/>
  <c r="I6" i="6"/>
  <c r="J6" i="6"/>
  <c r="K6" i="6"/>
  <c r="L6" i="6"/>
  <c r="M6" i="6"/>
  <c r="N6" i="6"/>
  <c r="O6" i="6"/>
  <c r="P6" i="6"/>
  <c r="Q6" i="6"/>
  <c r="R6" i="6"/>
  <c r="S6" i="6"/>
  <c r="T6" i="6"/>
  <c r="U6" i="6"/>
  <c r="V6" i="6"/>
  <c r="W6" i="6"/>
  <c r="X6" i="6"/>
  <c r="C8" i="6"/>
  <c r="E8" i="6"/>
  <c r="F8" i="6"/>
  <c r="G8" i="6"/>
  <c r="H8" i="6"/>
  <c r="I8" i="6"/>
  <c r="J8" i="6"/>
  <c r="K8" i="6"/>
  <c r="L8" i="6"/>
  <c r="M8" i="6"/>
  <c r="N8" i="6"/>
  <c r="P8" i="6"/>
  <c r="Q8" i="6"/>
  <c r="R8" i="6"/>
  <c r="S8" i="6"/>
  <c r="T8" i="6"/>
  <c r="U8" i="6"/>
  <c r="V8" i="6"/>
  <c r="W8" i="6"/>
  <c r="X8" i="6"/>
  <c r="B16" i="6"/>
  <c r="C16" i="6"/>
  <c r="D16" i="6"/>
  <c r="E16" i="6"/>
  <c r="F16" i="6"/>
  <c r="G16" i="6"/>
  <c r="H16" i="6"/>
  <c r="I16" i="6"/>
  <c r="J16" i="6"/>
  <c r="K16" i="6"/>
  <c r="L16" i="6"/>
  <c r="M16" i="6"/>
  <c r="N16" i="6"/>
  <c r="O16" i="6"/>
  <c r="P16" i="6"/>
  <c r="Q16" i="6"/>
  <c r="R16" i="6"/>
  <c r="S16" i="6"/>
  <c r="T16" i="6"/>
  <c r="U16" i="6"/>
  <c r="V16" i="6"/>
  <c r="W16" i="6"/>
  <c r="X16" i="6"/>
  <c r="Y16" i="6"/>
  <c r="C18" i="6"/>
  <c r="G18" i="6"/>
  <c r="H18" i="6"/>
  <c r="I18" i="6"/>
  <c r="J18" i="6"/>
  <c r="K18" i="6"/>
  <c r="L18" i="6"/>
  <c r="M18" i="6"/>
  <c r="N18" i="6"/>
  <c r="O18" i="6"/>
  <c r="R18" i="6"/>
  <c r="S18" i="6"/>
  <c r="T18" i="6"/>
  <c r="U18" i="6"/>
  <c r="V18" i="6"/>
  <c r="W18" i="6"/>
  <c r="X18" i="6"/>
  <c r="Y18" i="6"/>
  <c r="B26" i="6"/>
  <c r="C26" i="6"/>
  <c r="D26" i="6"/>
  <c r="E26" i="6"/>
  <c r="F26" i="6"/>
  <c r="G26" i="6"/>
  <c r="H26" i="6"/>
  <c r="I26" i="6"/>
  <c r="J26" i="6"/>
  <c r="K26" i="6"/>
  <c r="B28" i="6"/>
  <c r="D28" i="6"/>
  <c r="E28" i="6"/>
  <c r="G28" i="6"/>
  <c r="I28" i="6"/>
  <c r="J28" i="6"/>
  <c r="K28" i="6"/>
  <c r="B34" i="6"/>
  <c r="C34" i="6"/>
  <c r="D34" i="6"/>
  <c r="E34" i="6"/>
  <c r="F34" i="6"/>
  <c r="G34" i="6"/>
  <c r="H34" i="6"/>
  <c r="I34" i="6"/>
  <c r="J34" i="6"/>
  <c r="K34" i="6"/>
  <c r="L34" i="6"/>
  <c r="M34" i="6"/>
  <c r="N34" i="6"/>
  <c r="D36" i="6"/>
  <c r="E36" i="6"/>
  <c r="G36" i="6"/>
  <c r="I36" i="6"/>
  <c r="J36" i="6"/>
  <c r="K36" i="6"/>
  <c r="L36" i="6"/>
  <c r="M36" i="6"/>
  <c r="N36" i="6"/>
  <c r="B42" i="6"/>
  <c r="C42" i="6"/>
  <c r="D42" i="6"/>
  <c r="E42" i="6"/>
  <c r="F42" i="6"/>
  <c r="G42" i="6"/>
  <c r="H42" i="6"/>
  <c r="I42" i="6"/>
  <c r="J42" i="6"/>
  <c r="C44" i="6"/>
  <c r="F44" i="6"/>
  <c r="G44" i="6"/>
  <c r="H44" i="6"/>
  <c r="I44" i="6"/>
  <c r="J44" i="6"/>
  <c r="B54" i="6"/>
  <c r="C54" i="6"/>
  <c r="D54" i="6"/>
  <c r="E54" i="6"/>
  <c r="F54" i="6"/>
  <c r="G54" i="6"/>
  <c r="H54" i="6"/>
  <c r="I54" i="6"/>
  <c r="J54" i="6"/>
  <c r="K54" i="6"/>
  <c r="L54" i="6"/>
  <c r="M54" i="6"/>
  <c r="N54" i="6"/>
  <c r="O54" i="6"/>
  <c r="P54" i="6"/>
  <c r="Q54" i="6"/>
  <c r="R54" i="6"/>
  <c r="S54" i="6"/>
  <c r="T54" i="6"/>
  <c r="U54" i="6"/>
  <c r="V54" i="6"/>
  <c r="W54" i="6"/>
  <c r="X54" i="6"/>
  <c r="Y54" i="6"/>
  <c r="Z54" i="6"/>
  <c r="AA54" i="6"/>
  <c r="H56" i="6"/>
  <c r="I56" i="6"/>
  <c r="J56" i="6"/>
  <c r="K56" i="6"/>
  <c r="L56" i="6"/>
  <c r="M56" i="6"/>
  <c r="N56" i="6"/>
  <c r="O56" i="6"/>
  <c r="P56" i="6"/>
  <c r="Q56" i="6"/>
  <c r="S56" i="6"/>
  <c r="T56" i="6"/>
  <c r="U56" i="6"/>
  <c r="V56" i="6"/>
  <c r="W56" i="6"/>
  <c r="X56" i="6"/>
  <c r="Y56" i="6"/>
  <c r="Z56" i="6"/>
  <c r="AA56" i="6"/>
  <c r="B64" i="6"/>
  <c r="C64" i="6"/>
  <c r="D64" i="6"/>
  <c r="E64" i="6"/>
  <c r="F64" i="6"/>
  <c r="G64" i="6"/>
  <c r="H64" i="6"/>
  <c r="I64" i="6"/>
  <c r="J64" i="6"/>
  <c r="K64" i="6"/>
  <c r="L64" i="6"/>
  <c r="M64" i="6"/>
  <c r="N64" i="6"/>
  <c r="O64" i="6"/>
  <c r="P64" i="6"/>
  <c r="Q64" i="6"/>
  <c r="R64" i="6"/>
  <c r="S64" i="6"/>
  <c r="T64" i="6"/>
  <c r="U64" i="6"/>
  <c r="V64" i="6"/>
  <c r="W64" i="6"/>
  <c r="X64" i="6"/>
  <c r="Y64" i="6"/>
  <c r="Z64" i="6"/>
  <c r="AA64" i="6"/>
  <c r="AB64" i="6"/>
  <c r="C66" i="6"/>
  <c r="I66" i="6"/>
  <c r="J66" i="6"/>
  <c r="K66" i="6"/>
  <c r="L66" i="6"/>
  <c r="M66" i="6"/>
  <c r="N66" i="6"/>
  <c r="O66" i="6"/>
  <c r="P66" i="6"/>
  <c r="Q66" i="6"/>
  <c r="R66" i="6"/>
  <c r="T66" i="6"/>
  <c r="U66" i="6"/>
  <c r="V66" i="6"/>
  <c r="W66" i="6"/>
  <c r="X66" i="6"/>
  <c r="Y66" i="6"/>
  <c r="Z66" i="6"/>
  <c r="AA66" i="6"/>
  <c r="AB66" i="6"/>
  <c r="B74" i="6"/>
  <c r="C74" i="6"/>
  <c r="D74" i="6"/>
  <c r="E74" i="6"/>
  <c r="F74" i="6"/>
  <c r="G74" i="6"/>
  <c r="H74" i="6"/>
  <c r="B76" i="6"/>
  <c r="C76" i="6"/>
  <c r="D76" i="6"/>
  <c r="E76" i="6"/>
  <c r="F76" i="6"/>
  <c r="H76" i="6"/>
  <c r="B82" i="6"/>
  <c r="C82" i="6"/>
  <c r="D82" i="6"/>
  <c r="E82" i="6"/>
  <c r="F82" i="6"/>
  <c r="G82" i="6"/>
  <c r="H82" i="6"/>
  <c r="C84" i="6"/>
  <c r="D84" i="6"/>
  <c r="E84" i="6"/>
  <c r="F84" i="6"/>
  <c r="H84" i="6"/>
  <c r="B96" i="6"/>
  <c r="C96" i="6"/>
  <c r="D96" i="6"/>
  <c r="C98" i="6"/>
  <c r="D98" i="6"/>
  <c r="B106" i="6"/>
  <c r="C106" i="6"/>
  <c r="D106" i="6"/>
  <c r="C108" i="6"/>
  <c r="D108" i="6"/>
  <c r="F2" i="5"/>
  <c r="F3" i="5"/>
  <c r="F4" i="5"/>
  <c r="F5" i="5"/>
  <c r="F6" i="5"/>
  <c r="F7" i="5"/>
  <c r="F8" i="5"/>
  <c r="F9" i="5"/>
  <c r="F10" i="5"/>
  <c r="F11" i="5"/>
  <c r="B132" i="4"/>
  <c r="A136" i="4"/>
  <c r="A140" i="4"/>
  <c r="B144" i="4"/>
  <c r="A148" i="4"/>
  <c r="A152" i="4"/>
  <c r="B180" i="4"/>
  <c r="A184" i="4"/>
  <c r="A188" i="4"/>
  <c r="A192" i="4"/>
  <c r="B192" i="4"/>
  <c r="A196" i="4"/>
  <c r="B196" i="4"/>
  <c r="A200" i="4"/>
  <c r="B200" i="4"/>
  <c r="A204" i="4"/>
  <c r="B204" i="4"/>
  <c r="A212" i="4"/>
  <c r="B212" i="4"/>
  <c r="A216" i="4"/>
  <c r="B216" i="4"/>
  <c r="A220" i="4"/>
  <c r="B220" i="4"/>
  <c r="A224" i="4"/>
  <c r="B224" i="4"/>
  <c r="A228" i="4"/>
  <c r="A232" i="4"/>
  <c r="A236" i="4"/>
  <c r="A240" i="4"/>
  <c r="A244" i="4"/>
  <c r="A248" i="4"/>
  <c r="B426" i="4"/>
  <c r="A430" i="4"/>
  <c r="A434" i="4"/>
  <c r="B438" i="4"/>
  <c r="A442" i="4"/>
  <c r="A446" i="4"/>
  <c r="B474" i="4"/>
  <c r="A478" i="4"/>
  <c r="A482" i="4"/>
  <c r="A486" i="4"/>
  <c r="A494" i="4"/>
  <c r="B494" i="4"/>
  <c r="A498" i="4"/>
  <c r="B498" i="4"/>
  <c r="A502" i="4"/>
  <c r="B502" i="4"/>
  <c r="A506" i="4"/>
  <c r="B506" i="4"/>
  <c r="A514" i="4"/>
  <c r="B514" i="4"/>
  <c r="A518" i="4"/>
  <c r="B518" i="4"/>
  <c r="A522" i="4"/>
  <c r="B522" i="4"/>
  <c r="A526" i="4"/>
  <c r="B526" i="4"/>
  <c r="A530" i="4"/>
  <c r="A534" i="4"/>
  <c r="A538" i="4"/>
  <c r="A542" i="4"/>
  <c r="A546" i="4"/>
  <c r="A550" i="4"/>
  <c r="A655" i="4"/>
  <c r="A659" i="4"/>
  <c r="A663" i="4"/>
  <c r="A667" i="4"/>
  <c r="B851" i="4"/>
  <c r="A855" i="4"/>
  <c r="A859" i="4"/>
  <c r="B863" i="4"/>
  <c r="A867" i="4"/>
  <c r="A871" i="4"/>
  <c r="B899" i="4"/>
  <c r="A903" i="4"/>
  <c r="A907" i="4"/>
  <c r="A911" i="4"/>
  <c r="A955" i="4"/>
  <c r="B955" i="4"/>
  <c r="B959" i="4"/>
  <c r="A967" i="4"/>
  <c r="B967" i="4"/>
  <c r="A975" i="4"/>
  <c r="B975" i="4"/>
  <c r="A979" i="4"/>
  <c r="B979" i="4"/>
  <c r="A983" i="4"/>
  <c r="B983" i="4"/>
  <c r="A987" i="4"/>
  <c r="B987" i="4"/>
  <c r="A991" i="4"/>
  <c r="A995" i="4"/>
  <c r="A1003" i="4"/>
  <c r="A1007" i="4"/>
  <c r="A1011" i="4"/>
  <c r="B1175" i="4"/>
  <c r="A1179" i="4"/>
  <c r="A1183" i="4"/>
  <c r="B1187" i="4"/>
  <c r="A1191" i="4"/>
  <c r="A1195" i="4"/>
  <c r="B1223" i="4"/>
  <c r="A1231" i="4"/>
  <c r="A1235" i="4"/>
  <c r="A1239" i="4"/>
  <c r="A1287" i="4"/>
  <c r="B1287" i="4"/>
  <c r="A1291" i="4"/>
  <c r="B1291" i="4"/>
  <c r="A1295" i="4"/>
  <c r="B1295" i="4"/>
  <c r="A1299" i="4"/>
  <c r="B1299" i="4"/>
  <c r="A1307" i="4"/>
  <c r="B1307" i="4"/>
  <c r="A1311" i="4"/>
  <c r="B1311" i="4"/>
  <c r="A1315" i="4"/>
  <c r="B1315" i="4"/>
  <c r="A1319" i="4"/>
  <c r="B1319" i="4"/>
  <c r="A1323" i="4"/>
  <c r="A1327" i="4"/>
  <c r="A1331" i="4"/>
  <c r="A1335" i="4"/>
  <c r="A1339" i="4"/>
  <c r="A1343" i="4"/>
  <c r="AH6" i="14"/>
  <c r="AN6" i="14"/>
  <c r="AN7" i="14"/>
  <c r="J4" i="12"/>
  <c r="L4" i="12"/>
  <c r="AN5" i="14"/>
  <c r="J3" i="12"/>
  <c r="A8" i="7"/>
  <c r="AK4" i="14"/>
  <c r="AI4" i="13"/>
  <c r="AI4" i="9"/>
  <c r="AG4" i="8"/>
  <c r="J5" i="10"/>
  <c r="W6" i="8"/>
  <c r="AD6" i="8"/>
  <c r="AE6" i="8"/>
  <c r="J4" i="16"/>
  <c r="K4" i="16"/>
  <c r="J3" i="16"/>
  <c r="K3" i="16"/>
  <c r="K5" i="16"/>
  <c r="C10" i="18" s="1"/>
  <c r="L3" i="12"/>
  <c r="L5" i="12"/>
  <c r="C6" i="18" s="1"/>
  <c r="Y5" i="13"/>
  <c r="X5" i="9"/>
  <c r="AF5" i="9"/>
  <c r="AG5" i="9"/>
  <c r="W5" i="8"/>
  <c r="M5" i="21"/>
  <c r="AD5" i="8"/>
  <c r="AE5" i="8"/>
  <c r="AF5" i="13"/>
  <c r="AJ8" i="9"/>
  <c r="AG5" i="13"/>
  <c r="H4" i="15"/>
  <c r="AH7" i="8"/>
  <c r="AL5" i="13"/>
  <c r="AL7" i="13"/>
  <c r="H3" i="15"/>
  <c r="H5" i="15" s="1"/>
  <c r="C9" i="18" s="1"/>
  <c r="E11" i="15"/>
  <c r="F10" i="15"/>
  <c r="K11" i="15"/>
  <c r="E10" i="15" l="1"/>
  <c r="C13" i="17"/>
  <c r="H10" i="15"/>
  <c r="C11" i="18"/>
  <c r="C14" i="18" s="1"/>
  <c r="C15" i="18" l="1"/>
  <c r="C16" i="18" s="1"/>
  <c r="C21" i="18" s="1"/>
</calcChain>
</file>

<file path=xl/sharedStrings.xml><?xml version="1.0" encoding="utf-8"?>
<sst xmlns="http://schemas.openxmlformats.org/spreadsheetml/2006/main" count="3837" uniqueCount="1265">
  <si>
    <t>Help on Enable Macro (Enable Validate button):</t>
  </si>
  <si>
    <t>FOR EXCEL 2010 :-</t>
  </si>
  <si>
    <t>To "Enable Macro" please follow steps below.</t>
  </si>
  <si>
    <r>
      <t xml:space="preserve">Click the </t>
    </r>
    <r>
      <rPr>
        <b/>
        <sz val="12"/>
        <rFont val="Book Antiqua"/>
        <family val="1"/>
      </rPr>
      <t>File Menu (Office BackStage)</t>
    </r>
    <r>
      <rPr>
        <sz val="12"/>
        <rFont val="Book Antiqua"/>
        <family val="1"/>
      </rPr>
      <t>, and then select Options from the left sidebar.</t>
    </r>
  </si>
  <si>
    <t>Click Trust Center, click Trust Center Settings, and then click Macro Settings.</t>
  </si>
  <si>
    <t>Select "Enable all macros". Click on 'OK'.</t>
  </si>
  <si>
    <t>Open the file again.</t>
  </si>
  <si>
    <t>FOR EXCEL 2007 :-</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</si>
  <si>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</si>
  <si>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</si>
  <si>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</si>
  <si>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</si>
  <si>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</si>
  <si>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</si>
  <si>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</si>
  <si>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 xml:space="preserve">
</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</si>
  <si>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</si>
  <si>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</si>
  <si>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</si>
  <si>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Note :</t>
    </r>
    <r>
      <rPr>
        <sz val="12"/>
        <rFont val="Book Antiqua"/>
        <family val="1"/>
      </rPr>
      <t xml:space="preserve"> While opening a MS Excel 2007 file, macro security issue may arise. To overcome this issue, upgrade to 
MS Excel 2007 Service Pack 2</t>
    </r>
  </si>
  <si>
    <t>Sr. No.</t>
  </si>
  <si>
    <t>Section Name</t>
  </si>
  <si>
    <t>Field</t>
  </si>
  <si>
    <t>Error Description</t>
  </si>
  <si>
    <t>Reference Cell</t>
  </si>
  <si>
    <t>ReturnType</t>
  </si>
  <si>
    <t>ReturnTypeCode</t>
  </si>
  <si>
    <t>Boolean</t>
  </si>
  <si>
    <t>TypeOfEmp</t>
  </si>
  <si>
    <t>TypeOFEmpCode</t>
  </si>
  <si>
    <t>TypeOfHousing</t>
  </si>
  <si>
    <t>TypeOfHousingCode</t>
  </si>
  <si>
    <t>SortedTypeOfHousing</t>
  </si>
  <si>
    <t>RefSchedules</t>
  </si>
  <si>
    <t>RefSchedulesCode</t>
  </si>
  <si>
    <t>CarTypeCode</t>
  </si>
  <si>
    <t>CarType</t>
  </si>
  <si>
    <t>SortedCarType</t>
  </si>
  <si>
    <t>BodyType</t>
  </si>
  <si>
    <t>BodyTypeCode</t>
  </si>
  <si>
    <t>SortedBodyType</t>
  </si>
  <si>
    <t>EntityType</t>
  </si>
  <si>
    <t>EntityCode</t>
  </si>
  <si>
    <t>SortedEntityCode</t>
  </si>
  <si>
    <t>Lump Sum Payment Due Year</t>
  </si>
  <si>
    <t>SlabStart</t>
  </si>
  <si>
    <t>SlabEnd</t>
  </si>
  <si>
    <t>Rate</t>
  </si>
  <si>
    <t>Original</t>
  </si>
  <si>
    <t>ORIGINAL</t>
  </si>
  <si>
    <t>Yes</t>
  </si>
  <si>
    <t>Primary Employee</t>
  </si>
  <si>
    <t>PRMEMP</t>
  </si>
  <si>
    <t>Benefit not given</t>
  </si>
  <si>
    <t>3</t>
  </si>
  <si>
    <t>Agriculture Farm</t>
  </si>
  <si>
    <t>B_Employees_Dtls</t>
  </si>
  <si>
    <t>SCH1</t>
  </si>
  <si>
    <t>HIRED</t>
  </si>
  <si>
    <t>Owned</t>
  </si>
  <si>
    <t>Hired</t>
  </si>
  <si>
    <t>Saloon Hatch Backs and Estates</t>
  </si>
  <si>
    <t>LANDOVER</t>
  </si>
  <si>
    <t>Land Rovers/ Cruisers(excludes Range Rovers and vehicles of similar nature)</t>
  </si>
  <si>
    <t>Head Office</t>
  </si>
  <si>
    <t>BRET</t>
  </si>
  <si>
    <t>Branch</t>
  </si>
  <si>
    <t>2000</t>
  </si>
  <si>
    <t>0</t>
  </si>
  <si>
    <t>116160</t>
  </si>
  <si>
    <t>10</t>
  </si>
  <si>
    <t>Amended</t>
  </si>
  <si>
    <t>AMENDED</t>
  </si>
  <si>
    <t>No</t>
  </si>
  <si>
    <t>Secondary Employee</t>
  </si>
  <si>
    <t>SCNDEMP</t>
  </si>
  <si>
    <t>Employer's Owned House</t>
  </si>
  <si>
    <t>C_Disabled_Employees_Dtls</t>
  </si>
  <si>
    <t>SCH2</t>
  </si>
  <si>
    <t>OWNED</t>
  </si>
  <si>
    <t>Pick Ups, Panel Vans Uncovered</t>
  </si>
  <si>
    <t>PICKUPS</t>
  </si>
  <si>
    <t>HOET</t>
  </si>
  <si>
    <t>116161</t>
  </si>
  <si>
    <t>225600</t>
  </si>
  <si>
    <t>15</t>
  </si>
  <si>
    <t>Employer's Rented House</t>
  </si>
  <si>
    <t>1</t>
  </si>
  <si>
    <t>G_Arrears_Dtls_E</t>
  </si>
  <si>
    <t>SCH6</t>
  </si>
  <si>
    <t>SLNHTCH</t>
  </si>
  <si>
    <t>225601</t>
  </si>
  <si>
    <t>335040</t>
  </si>
  <si>
    <t>20</t>
  </si>
  <si>
    <t>2</t>
  </si>
  <si>
    <t>H_Arrears_Dtls_DE</t>
  </si>
  <si>
    <t>SCH7</t>
  </si>
  <si>
    <t>335041</t>
  </si>
  <si>
    <t>444480</t>
  </si>
  <si>
    <t>25</t>
  </si>
  <si>
    <t>MonthsList</t>
  </si>
  <si>
    <t>Month</t>
  </si>
  <si>
    <t>SortedMonthList</t>
  </si>
  <si>
    <t>PurposeOfPolicy</t>
  </si>
  <si>
    <t>PolicyCode</t>
  </si>
  <si>
    <t>House to Non full time service Director</t>
  </si>
  <si>
    <t>4</t>
  </si>
  <si>
    <t>444481</t>
  </si>
  <si>
    <t>30</t>
  </si>
  <si>
    <t>January</t>
  </si>
  <si>
    <t>04</t>
  </si>
  <si>
    <t>April</t>
  </si>
  <si>
    <t>01</t>
  </si>
  <si>
    <t>Education</t>
  </si>
  <si>
    <t>EDU</t>
  </si>
  <si>
    <t>PolicyHolder</t>
  </si>
  <si>
    <t>PolicyHolderCode</t>
  </si>
  <si>
    <t>2001</t>
  </si>
  <si>
    <t>February</t>
  </si>
  <si>
    <t>08</t>
  </si>
  <si>
    <t>August</t>
  </si>
  <si>
    <t>02</t>
  </si>
  <si>
    <t>Health</t>
  </si>
  <si>
    <t>HLTH</t>
  </si>
  <si>
    <t>Child</t>
  </si>
  <si>
    <t>C</t>
  </si>
  <si>
    <t>March</t>
  </si>
  <si>
    <t>12</t>
  </si>
  <si>
    <t>December</t>
  </si>
  <si>
    <t>03</t>
  </si>
  <si>
    <t>Life</t>
  </si>
  <si>
    <t>LIFE</t>
  </si>
  <si>
    <t>Self</t>
  </si>
  <si>
    <t>S</t>
  </si>
  <si>
    <t>Wife</t>
  </si>
  <si>
    <t>W</t>
  </si>
  <si>
    <t>May</t>
  </si>
  <si>
    <t>05</t>
  </si>
  <si>
    <t>June</t>
  </si>
  <si>
    <t>07</t>
  </si>
  <si>
    <t>July</t>
  </si>
  <si>
    <t>06</t>
  </si>
  <si>
    <t>2002</t>
  </si>
  <si>
    <t>September</t>
  </si>
  <si>
    <t>09</t>
  </si>
  <si>
    <t>Sorted Resident Status</t>
  </si>
  <si>
    <t>Resident Status</t>
  </si>
  <si>
    <t>Code for Resident Status</t>
  </si>
  <si>
    <t>October</t>
  </si>
  <si>
    <t>11</t>
  </si>
  <si>
    <t>November</t>
  </si>
  <si>
    <t>Non-Resident</t>
  </si>
  <si>
    <t>Resident</t>
  </si>
  <si>
    <t>NONRES</t>
  </si>
  <si>
    <t>RES</t>
  </si>
  <si>
    <t>2003</t>
  </si>
  <si>
    <t>YearList</t>
  </si>
  <si>
    <t>OtherYear</t>
  </si>
  <si>
    <t>ValidationErrorMsgs</t>
  </si>
  <si>
    <t>OtherYear2</t>
  </si>
  <si>
    <t>1998</t>
  </si>
  <si>
    <t xml:space="preserve"> in proper format(dd/mm/yyyy).</t>
  </si>
  <si>
    <t>1999</t>
  </si>
  <si>
    <t>Please enter Date between Return Period specified and in dd/mm/yyyy proper format.</t>
  </si>
  <si>
    <t>2004</t>
  </si>
  <si>
    <t xml:space="preserve"> cannot be the current/future date.</t>
  </si>
  <si>
    <t xml:space="preserve"> can not be same as  Taxpayer's PIN.</t>
  </si>
  <si>
    <t>Please enter numeric value only.</t>
  </si>
  <si>
    <t>Please enter alphanumeric value. Only Special characters like (space , . / - :) are allowed.</t>
  </si>
  <si>
    <t>2005</t>
  </si>
  <si>
    <t>Please enter alphanumeric value. Special characters  are  not allowed.</t>
  </si>
  <si>
    <t>2006</t>
  </si>
  <si>
    <t>121968</t>
  </si>
  <si>
    <t>Please enter alphabetic value Only.</t>
  </si>
  <si>
    <t>2007</t>
  </si>
  <si>
    <t>121969</t>
  </si>
  <si>
    <t>236880</t>
  </si>
  <si>
    <t xml:space="preserve"> is Mandatory field.</t>
  </si>
  <si>
    <t>2008</t>
  </si>
  <si>
    <t>236881</t>
  </si>
  <si>
    <t>351792</t>
  </si>
  <si>
    <t>Please enter numeric value greater than zero.</t>
  </si>
  <si>
    <t>2009</t>
  </si>
  <si>
    <t>351793</t>
  </si>
  <si>
    <t>466704</t>
  </si>
  <si>
    <t xml:space="preserve"> should be before Return Period in Section A.</t>
  </si>
  <si>
    <t>2010</t>
  </si>
  <si>
    <t>466705</t>
  </si>
  <si>
    <t xml:space="preserve"> should be greater than Employment Start Date.</t>
  </si>
  <si>
    <t>2011</t>
  </si>
  <si>
    <t xml:space="preserve"> should be before or same as Year of Income in Section A.</t>
  </si>
  <si>
    <t>2012</t>
  </si>
  <si>
    <t xml:space="preserve"> should be same as Year of Income in Section A.</t>
  </si>
  <si>
    <t xml:space="preserve"> should be same as Return for the Month in Section A.</t>
  </si>
  <si>
    <t>For Section B</t>
  </si>
  <si>
    <t>Criteria</t>
  </si>
  <si>
    <t>EndRow</t>
  </si>
  <si>
    <t>CriteriaRange</t>
  </si>
  <si>
    <t>Highlight Cell Column</t>
  </si>
  <si>
    <t>crit1</t>
  </si>
  <si>
    <t>A1:B2</t>
  </si>
  <si>
    <t>crit2</t>
  </si>
  <si>
    <t>A5:B6</t>
  </si>
  <si>
    <t>D</t>
  </si>
  <si>
    <t>crit3</t>
  </si>
  <si>
    <t>A9:A10</t>
  </si>
  <si>
    <t>M</t>
  </si>
  <si>
    <t>crit4</t>
  </si>
  <si>
    <t>A13:A14</t>
  </si>
  <si>
    <t>P</t>
  </si>
  <si>
    <t>crit5</t>
  </si>
  <si>
    <t>A17:A18</t>
  </si>
  <si>
    <t>T</t>
  </si>
  <si>
    <t>crit6</t>
  </si>
  <si>
    <t>A21:A22</t>
  </si>
  <si>
    <t>V</t>
  </si>
  <si>
    <t>crit7</t>
  </si>
  <si>
    <t>A25:A26</t>
  </si>
  <si>
    <t>crit8</t>
  </si>
  <si>
    <t>A29:A30</t>
  </si>
  <si>
    <t>X</t>
  </si>
  <si>
    <t>crit9</t>
  </si>
  <si>
    <t>A33:A34</t>
  </si>
  <si>
    <t>Z</t>
  </si>
  <si>
    <t>crit10</t>
  </si>
  <si>
    <t>A37:A38</t>
  </si>
  <si>
    <t>AC</t>
  </si>
  <si>
    <t>crit11</t>
  </si>
  <si>
    <t>A41:A42</t>
  </si>
  <si>
    <t>AD</t>
  </si>
  <si>
    <t>crit12</t>
  </si>
  <si>
    <t>A45:A46</t>
  </si>
  <si>
    <t>AF</t>
  </si>
  <si>
    <t>crit13</t>
  </si>
  <si>
    <t>A49:A50</t>
  </si>
  <si>
    <t>AH</t>
  </si>
  <si>
    <t>crit14</t>
  </si>
  <si>
    <t>A53:A54</t>
  </si>
  <si>
    <t>AI</t>
  </si>
  <si>
    <t>crit15</t>
  </si>
  <si>
    <t>A57:B58</t>
  </si>
  <si>
    <t>Q</t>
  </si>
  <si>
    <t>crit16</t>
  </si>
  <si>
    <t>A61:B62</t>
  </si>
  <si>
    <t>crit17</t>
  </si>
  <si>
    <t>A65:B66</t>
  </si>
  <si>
    <t>U</t>
  </si>
  <si>
    <t>crit18</t>
  </si>
  <si>
    <t>A69:B70</t>
  </si>
  <si>
    <t>crit19</t>
  </si>
  <si>
    <t>A73:B74</t>
  </si>
  <si>
    <t>crit20</t>
  </si>
  <si>
    <t>A77:B78</t>
  </si>
  <si>
    <t>crit21</t>
  </si>
  <si>
    <t>A81:B82</t>
  </si>
  <si>
    <t>crit22</t>
  </si>
  <si>
    <t>A85:B86</t>
  </si>
  <si>
    <t>crit23</t>
  </si>
  <si>
    <t>A89:B90</t>
  </si>
  <si>
    <t>crit24</t>
  </si>
  <si>
    <t>A93:B94</t>
  </si>
  <si>
    <t>crit25</t>
  </si>
  <si>
    <t>A97:B98</t>
  </si>
  <si>
    <t>crit26</t>
  </si>
  <si>
    <t>A101:B102</t>
  </si>
  <si>
    <t>crit27</t>
  </si>
  <si>
    <t>A105:B106</t>
  </si>
  <si>
    <t>crit28</t>
  </si>
  <si>
    <t>A109:B110</t>
  </si>
  <si>
    <t>crit29</t>
  </si>
  <si>
    <t>A113:B114</t>
  </si>
  <si>
    <t>crit30</t>
  </si>
  <si>
    <t>A117:B118</t>
  </si>
  <si>
    <t>Y</t>
  </si>
  <si>
    <t>crit31</t>
  </si>
  <si>
    <t>A121:C122</t>
  </si>
  <si>
    <t>AA</t>
  </si>
  <si>
    <t>crit32</t>
  </si>
  <si>
    <t>A125:C126</t>
  </si>
  <si>
    <t>AB</t>
  </si>
  <si>
    <t>crit33</t>
  </si>
  <si>
    <t>A129:C130</t>
  </si>
  <si>
    <t>Res</t>
  </si>
  <si>
    <t>&lt;&gt;Resident</t>
  </si>
  <si>
    <t>&lt;&gt;Non-Resident</t>
  </si>
  <si>
    <t xml:space="preserve">'Residential Status' should contain value  'Resident' or 'Non-Resident' in following row(s): </t>
  </si>
  <si>
    <t>Type</t>
  </si>
  <si>
    <t>&lt;&gt;Primary Employee</t>
  </si>
  <si>
    <t>&lt;&gt;Secondary Employee</t>
  </si>
  <si>
    <t xml:space="preserve">'Type of Employee' should contain value 'Primary Employee' or 'Secondary Employee' in following row(s): </t>
  </si>
  <si>
    <t>A</t>
  </si>
  <si>
    <t>&lt;&gt;</t>
  </si>
  <si>
    <t xml:space="preserve">'Total Cash Pay (A)' should be blank in following row(s): </t>
  </si>
  <si>
    <t xml:space="preserve">'Total Non Cash Pay (D)=(B + C) (C if greater than 3,000)' should be blank in following row(s): </t>
  </si>
  <si>
    <t>F</t>
  </si>
  <si>
    <t xml:space="preserve">'Computed Rent of House (F)' should be blank in following row(s):  </t>
  </si>
  <si>
    <t>H</t>
  </si>
  <si>
    <t xml:space="preserve">'Net Value of Housing (Ksh) (H) = (F - G)' should be blank in following row(s): </t>
  </si>
  <si>
    <t>I</t>
  </si>
  <si>
    <t xml:space="preserve">'Total Gross Pay (Ksh) (I) = (A + D + E + H))' should be blank in following row(s): </t>
  </si>
  <si>
    <t>J</t>
  </si>
  <si>
    <t xml:space="preserve">'30% of Cash Pay (J) = (A)*30%' should be blank in following row(s): </t>
  </si>
  <si>
    <t>L</t>
  </si>
  <si>
    <t xml:space="preserve">'Permissible Limit (L)' should be blank in following row(s): </t>
  </si>
  <si>
    <t>O</t>
  </si>
  <si>
    <t xml:space="preserve">'Amount of Benefit (O) = (Lower of J,K,L + M or N which ever is higher)' should be blank in following row(s): </t>
  </si>
  <si>
    <t xml:space="preserve">'Taxable Pay (Ksh) (P) = (I - O)' should be blank in following row(s): </t>
  </si>
  <si>
    <t xml:space="preserve">'Tax Payable (Ksh) (Q) = (P)*Slab Rate' should be blank in following row(s): </t>
  </si>
  <si>
    <t xml:space="preserve">'PAYE Tax (Ksh) (T) = (Q - R - S)' should be blank in following row(s): </t>
  </si>
  <si>
    <t xml:space="preserve">Self </t>
  </si>
  <si>
    <t>=</t>
  </si>
  <si>
    <t xml:space="preserve">'Self Assessed PAYE Tax (Ksh)' should contain value in following row(s): </t>
  </si>
  <si>
    <t>E</t>
  </si>
  <si>
    <t>Housing</t>
  </si>
  <si>
    <t xml:space="preserve">As 'Type of Housing' contains 'Benefit Not Given', 'Global Income (E)'  should contain value in following row(s): </t>
  </si>
  <si>
    <t>Rent</t>
  </si>
  <si>
    <t xml:space="preserve">As 'Type of Housing' contains 'Benefit Not Given', 'Rent of House/Market Value' should be blank in following row(s): </t>
  </si>
  <si>
    <t>G</t>
  </si>
  <si>
    <t xml:space="preserve">As 'Type of Housing' contains 'Benefit Not Given', 'Rent Recovered from Employee (G)' should be blank in following row(s): </t>
  </si>
  <si>
    <t xml:space="preserve">As 'Type of Housing' contains 'House to Non full time service Director', 'Global Income (E)'  should contain value in following row(s): </t>
  </si>
  <si>
    <t xml:space="preserve">As 'Type of Housing' contains 'House to Non full time service Director', 'Rent of House/Market Value' should be blank in following row(s): </t>
  </si>
  <si>
    <t xml:space="preserve">As 'Type of Housing' contains 'House to Non full time service Director', 'Rent Recovered from Employee (G)' should be blank in following row(s): </t>
  </si>
  <si>
    <t xml:space="preserve">As 'Type of Housing' contains 'Employer's Owned House', 'Rent of House/Market Value' should contain value in following row(s): </t>
  </si>
  <si>
    <t>=Employer's Owned House</t>
  </si>
  <si>
    <t xml:space="preserve">As 'Type of Housing' contains 'Employer's Owned House', 'Rent Recovered from Employee (G)' should contain value in following row(s): </t>
  </si>
  <si>
    <t xml:space="preserve">As 'Type of Housing' contains 'Employer's Owned House', 'Global Income (E)' should be blank in following row(s): </t>
  </si>
  <si>
    <t xml:space="preserve">As 'Type of Housing' contains 'Employer's Rented House', 'Rent of House/Market Value' should contain value in following row(s): </t>
  </si>
  <si>
    <t xml:space="preserve">As 'Type of Housing' contains 'Employer's Rented House', 'Rent Recovered from Employee (G)' should contain value in following row(s): </t>
  </si>
  <si>
    <t xml:space="preserve">As 'Type of Housing' contains 'Employer's Rented House', 'Global Income (E)' should be blank in following row(s): </t>
  </si>
  <si>
    <t xml:space="preserve">As 'Type of Housing' contains 'Agriculture Farm', 'Global Income (E)' should be blank in following row(s): </t>
  </si>
  <si>
    <t xml:space="preserve">As 'Type of Housing' contains 'Agriculture Farm', 'Rent of House/Market Value' should be blank in following row(s): </t>
  </si>
  <si>
    <t xml:space="preserve">As 'Type of Housing' contains 'Agriculture Farm', 'Rent Recovered from Employee (G)' should be blank in following row(s): </t>
  </si>
  <si>
    <t>K</t>
  </si>
  <si>
    <t xml:space="preserve">As 'Residential Status' contains 'Resident', 'Actual Contribution (K)' should contain value in following row(s): </t>
  </si>
  <si>
    <t xml:space="preserve">As 'Residential Status' contains 'Resident' and 'Type' contains 'Primary Employee', 'Mortgage Interest (M)' should contain value in following row(s): </t>
  </si>
  <si>
    <t>N</t>
  </si>
  <si>
    <t>R</t>
  </si>
  <si>
    <t xml:space="preserve">As 'Residential Status' contains 'Resident' and 'Type' contains 'Primary Employee', 'Monthly Personal Relief (Ksh) (R)' should contain value in following row(s): </t>
  </si>
  <si>
    <t>Pin</t>
  </si>
  <si>
    <t>Name</t>
  </si>
  <si>
    <t>Basic</t>
  </si>
  <si>
    <t>HousingAllow</t>
  </si>
  <si>
    <t>Transport</t>
  </si>
  <si>
    <t>Leave</t>
  </si>
  <si>
    <t>ot</t>
  </si>
  <si>
    <t>Director</t>
  </si>
  <si>
    <t>lumpsum</t>
  </si>
  <si>
    <t>OthrAllow</t>
  </si>
  <si>
    <t>B</t>
  </si>
  <si>
    <t>For Section C</t>
  </si>
  <si>
    <t>AE</t>
  </si>
  <si>
    <t>AG</t>
  </si>
  <si>
    <t>AJ</t>
  </si>
  <si>
    <t>AK</t>
  </si>
  <si>
    <t>crit34</t>
  </si>
  <si>
    <t>A133:C134</t>
  </si>
  <si>
    <t>crit35</t>
  </si>
  <si>
    <t>A137:C138</t>
  </si>
  <si>
    <t>crit36</t>
  </si>
  <si>
    <t>A141:C142</t>
  </si>
  <si>
    <t xml:space="preserve">'Exemption for Persons with Disability (Ksh) (P)' should be blank in following row(s): </t>
  </si>
  <si>
    <t xml:space="preserve">'Taxable Pay (Ksh) (Q)' should be blank in following row(s): </t>
  </si>
  <si>
    <t xml:space="preserve">'Tax Payable (Ksh) (R) = (Q)*Slab Rate' should be blank in following row(s): </t>
  </si>
  <si>
    <t xml:space="preserve">'PAYE Tax (Ksh) (U) = (R-S-T)' should be blank in following row(s): </t>
  </si>
  <si>
    <t xml:space="preserve">As 'Type of Housing' contains 'Agriculture Farm', 'Computed Rent of House (F)' should be blank in following row(s): </t>
  </si>
  <si>
    <t>ExemptCeriNo</t>
  </si>
  <si>
    <t xml:space="preserve">'Exemption Certificate Number' should contain value in following row(s): </t>
  </si>
  <si>
    <t xml:space="preserve">As 'Residential Status' contains 'Resident' and 'Type' contains 'Primary Employee', 'Actual Contribution (K)' should contain value in following row(s): </t>
  </si>
  <si>
    <t xml:space="preserve">As 'Residential Status' contains 'Resident' and 'Type' contains 'Primary Employee', 'Monthly Personal Relief (Ksh) (S)' should contain value in following row(s): </t>
  </si>
  <si>
    <t>PIN</t>
  </si>
  <si>
    <t>For Section D</t>
  </si>
  <si>
    <t>A1:D2</t>
  </si>
  <si>
    <t>A5:C6</t>
  </si>
  <si>
    <t>A9:B10</t>
  </si>
  <si>
    <t>A13:B14</t>
  </si>
  <si>
    <t>A17:B18</t>
  </si>
  <si>
    <t>A21:B22</t>
  </si>
  <si>
    <t>A25:B26</t>
  </si>
  <si>
    <t>REFTOSec</t>
  </si>
  <si>
    <t>&lt;&gt;B_Employees_Dtls</t>
  </si>
  <si>
    <t>&lt;&gt;C_Disabled_Employees_Dtls</t>
  </si>
  <si>
    <t>&lt;&gt;G_Arrears_Dtls_E</t>
  </si>
  <si>
    <t>&lt;&gt;H_Arrears_Dtls_DE</t>
  </si>
  <si>
    <t>&lt;&gt;Saloon Hatch Backs and Estates</t>
  </si>
  <si>
    <t>&lt;&gt;Pick Ups, Panel Vans Uncovered</t>
  </si>
  <si>
    <t>&lt;&gt;Land Rovers/ Cruisers(excludes Range Rovers and vehicles of similar nature)</t>
  </si>
  <si>
    <t xml:space="preserve">'Body Type' should contain value 'Saloon Hatch Backs and Estates' or 'Pick Ups, Panel Vans Uncovered' or 'Land Rovers/Cruisers(excludes Range Rovers and vehicles of similar nature)' in following row(s): </t>
  </si>
  <si>
    <t>TypeOfCar</t>
  </si>
  <si>
    <t>&lt;&gt;Owned</t>
  </si>
  <si>
    <t>&lt;&gt;Hired</t>
  </si>
  <si>
    <t xml:space="preserve">'Type of Car Cost'  should contain value 'Owned' or 'Hired' in following row(s): </t>
  </si>
  <si>
    <t>HiredCost</t>
  </si>
  <si>
    <t xml:space="preserve">As 'Type of Car Cost' contains 'Owned', 'Cost of Hiring / Leasing (Ksh)' should be blank in following row(s): </t>
  </si>
  <si>
    <t>OwnedCost</t>
  </si>
  <si>
    <t xml:space="preserve">As 'Type of Car Cost' contains 'Hired', 'Cost of Owned Car (Ksh)' should be blank in following row(s): </t>
  </si>
  <si>
    <t>RegNo</t>
  </si>
  <si>
    <t>Make</t>
  </si>
  <si>
    <t>CCRating</t>
  </si>
  <si>
    <t>FOR SECTION F</t>
  </si>
  <si>
    <t>DueYear</t>
  </si>
  <si>
    <t>&lt;1998</t>
  </si>
  <si>
    <t xml:space="preserve">'Lump Sum Payment Due Year' should contain value in range from 1998 to current financial year in following row(s): </t>
  </si>
  <si>
    <t>PayYear</t>
  </si>
  <si>
    <t xml:space="preserve">'Lump Sum Payment Paid Year' should contain value in range from 1998 to current financial year in following row(s): </t>
  </si>
  <si>
    <t xml:space="preserve">'Total Revised Income (Ksh) (C)= (A+B)' should be blank in following row(s): </t>
  </si>
  <si>
    <t xml:space="preserve">'PAYE Deducted on Revised Income (Ksh) (D)' should be blank in following row(s): </t>
  </si>
  <si>
    <t>PIN of Employee</t>
  </si>
  <si>
    <t>Name of Employee</t>
  </si>
  <si>
    <t>Employment Start Date</t>
  </si>
  <si>
    <t>Employment End Date</t>
  </si>
  <si>
    <t>Amount of Gross Lump Sum Payment (Ksh) (A)</t>
  </si>
  <si>
    <t>Emoluments of Lump Sum Payment Due Year (Ksh) / Emoluments of Lump Sum Payment Due Month (Ksh) (B)</t>
  </si>
  <si>
    <t>Section G</t>
  </si>
  <si>
    <t>A1:L2</t>
  </si>
  <si>
    <t>AL</t>
  </si>
  <si>
    <t>AM</t>
  </si>
  <si>
    <t>&lt;&gt;January</t>
  </si>
  <si>
    <t>&lt;&gt;February</t>
  </si>
  <si>
    <t>&lt;&gt;March</t>
  </si>
  <si>
    <t>&lt;&gt;April</t>
  </si>
  <si>
    <t>&lt;&gt;May</t>
  </si>
  <si>
    <t>&lt;&gt;June</t>
  </si>
  <si>
    <t>&lt;&gt;July</t>
  </si>
  <si>
    <t>&lt;&gt;August</t>
  </si>
  <si>
    <t>&lt;&gt;September</t>
  </si>
  <si>
    <t>&lt;&gt;October</t>
  </si>
  <si>
    <t>&lt;&gt;November</t>
  </si>
  <si>
    <t>&lt;&gt;December</t>
  </si>
  <si>
    <t>Year</t>
  </si>
  <si>
    <t>&lt;2000</t>
  </si>
  <si>
    <t xml:space="preserve">'Type' should contain value 'Primary Employee' or 'Secondary Employee' in following row(s): </t>
  </si>
  <si>
    <t xml:space="preserve">As 'Type of Housing' contains 'Benefit not given', 'Global Income (Ksh) (E)' should contain value in following row(s): </t>
  </si>
  <si>
    <t xml:space="preserve">As 'Type of Housing' contains 'Benefit not given', 'Rent of House/Market Value' should be blank in following row(s): </t>
  </si>
  <si>
    <t xml:space="preserve">As 'Type of Housing' contains 'Benefit not given', 'Rent Recovered from Employee (G)' should be blank in following row(s): </t>
  </si>
  <si>
    <t xml:space="preserve">As 'Type of Housing' contains 'House to Non full time service Director', 'Global Income (Ksh) (E)' should contain value in following row(s): </t>
  </si>
  <si>
    <t xml:space="preserve">As 'Type of Housing' contains 'Employer's Owned House', 'Global Income (Ksh) (E)' should be blank in following row(s): </t>
  </si>
  <si>
    <t>=Employer's Rented House</t>
  </si>
  <si>
    <t xml:space="preserve">As 'Type of Housing' contains 'Employer's Rented House', 'Global Income (Ksh) (E)' should be blank in following row(s): </t>
  </si>
  <si>
    <t xml:space="preserve">As 'Type of Housing' contains 'Agriculture Farm', 'Global Income (Ksh) (E)' should be blank in following row(s): </t>
  </si>
  <si>
    <t xml:space="preserve">F </t>
  </si>
  <si>
    <t xml:space="preserve">'Value of Housing (Ksh) (H) = (F - G)' should be blank in following row(s): </t>
  </si>
  <si>
    <t xml:space="preserve">'Total Gross Pay (Ksh) (I) = (A+D+E+H)' sould be blank in following row(s): </t>
  </si>
  <si>
    <t xml:space="preserve">'Amount of Benefit (O)' should be blank in following row(s): </t>
  </si>
  <si>
    <t xml:space="preserve">'Final PAYE Tax (Ksh) (V) = (T - U)' should be blank in following row(s): </t>
  </si>
  <si>
    <t>Basic Salary</t>
  </si>
  <si>
    <t>Housing Allowance</t>
  </si>
  <si>
    <t>Transport Allowance</t>
  </si>
  <si>
    <t>Leave Pay</t>
  </si>
  <si>
    <t>Over Time Allowance</t>
  </si>
  <si>
    <t>Director's Fee</t>
  </si>
  <si>
    <t>Lump Sum Payment if any</t>
  </si>
  <si>
    <t>Other Allowance</t>
  </si>
  <si>
    <t>Section H</t>
  </si>
  <si>
    <t>AN</t>
  </si>
  <si>
    <t>AO</t>
  </si>
  <si>
    <t>crit37</t>
  </si>
  <si>
    <t xml:space="preserve">'Taxable Pay (Ksh) (Q) = (I - O -P)' should be blank in following row(s): </t>
  </si>
  <si>
    <t xml:space="preserve">'Final PAYE Tax (Ksh) (W) = (U - V)' should be blank in following row(s): </t>
  </si>
  <si>
    <t>For Section J</t>
  </si>
  <si>
    <t>A1:A2</t>
  </si>
  <si>
    <t>A5:A6</t>
  </si>
  <si>
    <t xml:space="preserve">'Interest on Loan (Ksh) (C)=(A)*(B)' should be blank in following row(s): </t>
  </si>
  <si>
    <t xml:space="preserve">'Prescribed Market Interest Rate (%) (D)' should be blank in following row(s): </t>
  </si>
  <si>
    <t xml:space="preserve">'Amount of Loan Outstanding (Ksh) (A)' should be blank in following row(s): </t>
  </si>
  <si>
    <t>Loan Account Number</t>
  </si>
  <si>
    <t>Loan Amount (Ksh)</t>
  </si>
  <si>
    <t>Amount of Loan Outstanding (Ksh) (A)</t>
  </si>
  <si>
    <t>Rate of Interest on Loan (%) (B)</t>
  </si>
  <si>
    <t>SectionName</t>
  </si>
  <si>
    <t>MaxLength</t>
  </si>
  <si>
    <t>Mandatory</t>
  </si>
  <si>
    <t>ValidationRule1</t>
  </si>
  <si>
    <t>Error Message</t>
  </si>
  <si>
    <t>ValidationRule2</t>
  </si>
  <si>
    <t>Section Description</t>
  </si>
  <si>
    <t>A_Basic_Info</t>
  </si>
  <si>
    <t>Employer's Personal Identification Number</t>
  </si>
  <si>
    <t>isMandatory(RtnInf.TaxPayersPIN,"Y")</t>
  </si>
  <si>
    <t>validatePIN(RtnInf.TaxPayersPIN,"A")</t>
  </si>
  <si>
    <t>Please enter Personal Identification Number in proper format.</t>
  </si>
  <si>
    <t>Section A : Return Information</t>
  </si>
  <si>
    <t>Type of Return</t>
  </si>
  <si>
    <t>isMandatory(RtnInf.ReturnType,"Y")</t>
  </si>
  <si>
    <t>Entity Type</t>
  </si>
  <si>
    <t>isMandatory(RtnInf.EntityType,"Y")</t>
  </si>
  <si>
    <t>Return Period From</t>
  </si>
  <si>
    <t>isMandatory(RtnInf.RtnPrdFrom,"Y")</t>
  </si>
  <si>
    <t>Return Period To</t>
  </si>
  <si>
    <t>isMandatory(RtnInf.RtnPrdTo,"Y")</t>
  </si>
  <si>
    <t>Previous month PAYE Tax</t>
  </si>
  <si>
    <t>IF(RtnInf.EntityType="Head Office",isMandatory(ClcTaxDue.PrevMonPaye,"Y"),"NE")</t>
  </si>
  <si>
    <t>Section L : Calculation of Tax Due</t>
  </si>
  <si>
    <t>K_PAYE_Payment_Credits</t>
  </si>
  <si>
    <t>Section K : Details of PAYE Tax paid</t>
  </si>
  <si>
    <t>isMandatory(DtlsPayeFinalTaxPdTO,"N")</t>
  </si>
  <si>
    <t>validateAdvTax1(ClcTaxDue.TotTaxPybl,DtlsPayeFinalTaxPdTO,DtlsPayeTaxPaidAdvListTO,DtlsPayeSelfAssTaxListTO)</t>
  </si>
  <si>
    <t>You do not have any net tax payable in L_Tax_Due (11) for the period. You cannot declare self assessment tax / advance payment details.</t>
  </si>
  <si>
    <t>validateAdvTax2(ClcTaxDue.TotTaxPybl,DtlsPayeFinalTaxPdTO,DtlsPayeTaxPaidAdvListTO,DtlsPayeSelfAssTaxListTO)</t>
  </si>
  <si>
    <t>You have declared the self assessment tax as well as advance payment details. The total amount declared is more than  the net tax payable  in L_Tax_Due (11). Please restrict the amount to net tax payable first adjusting through self assessment tax and then through advance payment.</t>
  </si>
  <si>
    <t>Section K2 : Self Assessment Tax</t>
  </si>
  <si>
    <t>validateAdvTax3(ClcTaxDue.TotTaxPybl,DtlsPayeFinalTaxPdTO,DtlsPayeTaxPaidAdvListTO,DtlsPayeSelfAssTaxListTO)</t>
  </si>
  <si>
    <t>You have declared the self assessment tax payment details. The total amount declared in self assessment tax paid is more than the net tax payable in L_Tax_Due (11). Please restrict the amount to net tax payable.</t>
  </si>
  <si>
    <t>Section K1 : Advance Payment</t>
  </si>
  <si>
    <t>validateAdvTax4(ClcTaxDue.TotTaxPybl,DtlsPayeFinalTaxPdTO,DtlsPayeTaxPaidAdvListTO,DtlsPayeSelfAssTaxListTO)</t>
  </si>
  <si>
    <t>You have declared the advance payment details. The total amount declared in advance payment paid is more than the net tax payable in L_Tax_Due (11). Please restrict the amount to net tax payable.</t>
  </si>
  <si>
    <t>Category</t>
  </si>
  <si>
    <t>Column Name &amp; Validation</t>
  </si>
  <si>
    <t>Name of the  Employee</t>
  </si>
  <si>
    <t>Residential Status</t>
  </si>
  <si>
    <t>Type of Employee</t>
  </si>
  <si>
    <t>Other Non cash Benefits</t>
  </si>
  <si>
    <t>Global Income (In case of non full time service Director)</t>
  </si>
  <si>
    <t>Type of Housing</t>
  </si>
  <si>
    <t>Rent of House</t>
  </si>
  <si>
    <t>Rent Recovered from Employee</t>
  </si>
  <si>
    <t>Actual Contribution</t>
  </si>
  <si>
    <t>Mortgage Interest</t>
  </si>
  <si>
    <t>Deposit on Home Ownership Saving Plan</t>
  </si>
  <si>
    <t>Monthly Personal Relief</t>
  </si>
  <si>
    <t>Self Assessed PAYE Tax</t>
  </si>
  <si>
    <t>Amount of Insurance Relief</t>
  </si>
  <si>
    <t>Section B : Details of Salary Paid and PAYE deducted from Employee(s)</t>
  </si>
  <si>
    <t>isMandatory(DtlsSalPdBftsPayeDedFrmEmp.List,"Y","A")</t>
  </si>
  <si>
    <t>isMandatory(DtlsSalPdBftsPayeDedFrmEmp.List,"Y","B")</t>
  </si>
  <si>
    <t>isMandatory(DtlsSalPdBftsPayeDedFrmEmp.List,"Y","C")</t>
  </si>
  <si>
    <t>isMandatory(DtlsSalPdBftsPayeDedFrmEmp.List,"Y","D")</t>
  </si>
  <si>
    <t>isMandatory(DtlsSalPdBftsPayeDedFrmEmp.List,"Y","E")</t>
  </si>
  <si>
    <t>isMandatory(DtlsSalPdBftsPayeDedFrmEmp.List,"Y","F")</t>
  </si>
  <si>
    <t>isMandatory(DtlsSalPdBftsPayeDedFrmEmp.List,"Y","G")</t>
  </si>
  <si>
    <t>isMandatory(DtlsSalPdBftsPayeDedFrmEmp.List,"Y","H")</t>
  </si>
  <si>
    <t>isMandatory(DtlsSalPdBftsPayeDedFrmEmp.List,"Y","I")</t>
  </si>
  <si>
    <t>isMandatory(DtlsSalPdBftsPayeDedFrmEmp.List,"Y","J")</t>
  </si>
  <si>
    <t>isMandatory(DtlsSalPdBftsPayeDedFrmEmp.List,"Y","K")</t>
  </si>
  <si>
    <t>isMandatory(DtlsSalPdBftsPayeDedFrmEmp.List,"Y","L")</t>
  </si>
  <si>
    <t>isMandatory(DtlsSalPdBftsPayeDedFrmEmp.List,"Y","O")</t>
  </si>
  <si>
    <t>isMandatory(DtlsSalPdBftsPayeDedFrmEmp.List,"Y","Q")</t>
  </si>
  <si>
    <t>isMandatory(DtlsSalPdBftsPayeDedFrmEmp.List,"Y","R")</t>
  </si>
  <si>
    <t>isMandatory(DtlsSalPdBftsPayeDedFrmEmp.List,"Y","S")</t>
  </si>
  <si>
    <t>isMandatory(DtlsSalPdBftsPayeDedFrmEmp.List,"Y","U")</t>
  </si>
  <si>
    <t>isMandatory(DtlsSalPdBftsPayeDedFrmEmp.List,"Y","Y")</t>
  </si>
  <si>
    <t>isMandatory(DtlsSalPdBftsPayeDedFrmEmp.List,"Y","AA")</t>
  </si>
  <si>
    <t>isMandatory(DtlsSalPdBftsPayeDedFrmEmp.List,"Y","AB")</t>
  </si>
  <si>
    <t>isMandatory(DtlsSalPdBftsPayeDedFrmEmp.List,"Y","AF")</t>
  </si>
  <si>
    <t>isMandatory(DtlsSalPdBftsPayeDedFrmEmp.List,"Y","AI")</t>
  </si>
  <si>
    <t>isMandatory(DtlsSalPdBftsPayeDedFrmEmp.List,"N","AG")</t>
  </si>
  <si>
    <t>validateTaxPyrPIN(DtlsSalPdBftsPayeDedFrmEmp.List,"A")</t>
  </si>
  <si>
    <t>validateAlphaNumeric(DtlsSalPdBftsPayeDedFrmEmp.List,"B")</t>
  </si>
  <si>
    <t>validateCurrencyFormat(DtlsSalPdBftsPayeDedFrmEmp.List,"E")</t>
  </si>
  <si>
    <t>validateCurrencyFormat(DtlsSalPdBftsPayeDedFrmEmp.List,"F")</t>
  </si>
  <si>
    <t>validateCurrencyFormat(DtlsSalPdBftsPayeDedFrmEmp.List,"G")</t>
  </si>
  <si>
    <t>validateCurrencyFormat(DtlsSalPdBftsPayeDedFrmEmp.List,"H")</t>
  </si>
  <si>
    <t>validateCurrencyFormat(DtlsSalPdBftsPayeDedFrmEmp.List,"I")</t>
  </si>
  <si>
    <t>validateCurrencyFormat(DtlsSalPdBftsPayeDedFrmEmp.List,"J")</t>
  </si>
  <si>
    <t>validateCurrencyFormat(DtlsSalPdBftsPayeDedFrmEmp.List,"K")</t>
  </si>
  <si>
    <t>validateCurrencyFormat(DtlsSalPdBftsPayeDedFrmEmp.List,"L")</t>
  </si>
  <si>
    <t>validateCurrencyFormat(DtlsSalPdBftsPayeDedFrmEmp.List,"O")</t>
  </si>
  <si>
    <t>validateCurrencyFormat(DtlsSalPdBftsPayeDedFrmEmp.List,"Q")</t>
  </si>
  <si>
    <t>validateCurrencyFormat(DtlsSalPdBftsPayeDedFrmEmp.List,"S")</t>
  </si>
  <si>
    <t>validateCurrencyFormat(DtlsSalPdBftsPayeDedFrmEmp.List,"U")</t>
  </si>
  <si>
    <t>validateCurrencyFormat(DtlsSalPdBftsPayeDedFrmEmp.List,"Y")</t>
  </si>
  <si>
    <t>validateCurrencyFormat(DtlsSalPdBftsPayeDedFrmEmp.List,"AA")</t>
  </si>
  <si>
    <t>validateCurrencyFormat(DtlsSalPdBftsPayeDedFrmEmp.List,"AB")</t>
  </si>
  <si>
    <t>validateCurrencyFormat(DtlsSalPdBftsPayeDedFrmEmp.List,"N")</t>
  </si>
  <si>
    <t>validateCurrencyFormat(DtlsSalPdBftsPayeDedFrmEmp.List,"AI")</t>
  </si>
  <si>
    <t>validateCurrencyFormat(DtlsSalPdBftsPayeDedFrmEmp.List,"AG")</t>
  </si>
  <si>
    <t>Exemption Certificate Number</t>
  </si>
  <si>
    <t>Section C : Details of Salary and Benefits paid and PAYE deducted from Persons with Disability</t>
  </si>
  <si>
    <t>isMandatory(DtlsSalPdBftsPayeDedFrmDsblEmp.List,"Y","A")</t>
  </si>
  <si>
    <t>isMandatory(DtlsSalPdBftsPayeDedFrmDsblEmp.List,"Y","B")</t>
  </si>
  <si>
    <t>isMandatory(DtlsSalPdBftsPayeDedFrmDsblEmp.List,"Y","C")</t>
  </si>
  <si>
    <t>isMandatory(DtlsSalPdBftsPayeDedFrmDsblEmp.List,"Y","D")</t>
  </si>
  <si>
    <t>isMandatory(DtlsSalPdBftsPayeDedFrmDsblEmp.List,"Y","E")</t>
  </si>
  <si>
    <t>isMandatory(DtlsSalPdBftsPayeDedFrmDsblEmp.List,"Y","F")</t>
  </si>
  <si>
    <t>isMandatory(DtlsSalPdBftsPayeDedFrmDsblEmp.List,"Y","G")</t>
  </si>
  <si>
    <t>isMandatory(DtlsSalPdBftsPayeDedFrmDsblEmp.List,"Y","H")</t>
  </si>
  <si>
    <t>isMandatory(DtlsSalPdBftsPayeDedFrmDsblEmp.List,"Y","I")</t>
  </si>
  <si>
    <t>isMandatory(DtlsSalPdBftsPayeDedFrmDsblEmp.List,"Y","J")</t>
  </si>
  <si>
    <t>isMandatory(DtlsSalPdBftsPayeDedFrmDsblEmp.List,"Y","K")</t>
  </si>
  <si>
    <t>isMandatory(DtlsSalPdBftsPayeDedFrmDsblEmp.List,"Y","L")</t>
  </si>
  <si>
    <t>isMandatory(DtlsSalPdBftsPayeDedFrmDsblEmp.List,"Y","M")</t>
  </si>
  <si>
    <t>isMandatory(DtlsSalPdBftsPayeDedFrmDsblEmp.List,"Y","P")</t>
  </si>
  <si>
    <t>isMandatory(DtlsSalPdBftsPayeDedFrmDsblEmp.List,"Y","R")</t>
  </si>
  <si>
    <t>isMandatory(DtlsSalPdBftsPayeDedFrmDsblEmp.List,"Y","S")</t>
  </si>
  <si>
    <t>isMandatory(DtlsSalPdBftsPayeDedFrmDsblEmp.List,"Y","T")</t>
  </si>
  <si>
    <t>isMandatory(DtlsSalPdBftsPayeDedFrmDsblEmp.List,"Y","V")</t>
  </si>
  <si>
    <t>isMandatory(DtlsSalPdBftsPayeDedFrmDsblEmp.List,"Y","Z")</t>
  </si>
  <si>
    <t>isMandatory(DtlsSalPdBftsPayeDedFrmDsblEmp.List,"Y","AB")</t>
  </si>
  <si>
    <t>isMandatory(DtlsSalPdBftsPayeDedFrmDsblEmp.List,"Y","AC")</t>
  </si>
  <si>
    <t>isMandatory(DtlsSalPdBftsPayeDedFrmDsblEmp.List,"Y","AH")</t>
  </si>
  <si>
    <t>isMandatory(DtlsSalPdBftsPayeDedFrmDsblEmp.List,"Y","AK")</t>
  </si>
  <si>
    <t>isMandatory(DtlsSalPdBftsPayeDedFrmDsblEmp.List,"N","AI")</t>
  </si>
  <si>
    <t>validateTaxPyrPIN(DtlsSalPdBftsPayeDedFrmDsblEmp.List,"A")</t>
  </si>
  <si>
    <t>validateAlphaNumeric(DtlsSalPdBftsPayeDedFrmDsblEmp.List,"B")</t>
  </si>
  <si>
    <t>validateCurrencyFormat(DtlsSalPdBftsPayeDedFrmDsblEmp.List,"F")</t>
  </si>
  <si>
    <t>validateCurrencyFormat(DtlsSalPdBftsPayeDedFrmDsblEmp.List,"G")</t>
  </si>
  <si>
    <t>validateCurrencyFormat(DtlsSalPdBftsPayeDedFrmDsblEmp.List,"H")</t>
  </si>
  <si>
    <t>validateCurrencyFormat(DtlsSalPdBftsPayeDedFrmDsblEmp.List,"I")</t>
  </si>
  <si>
    <t>validateCurrencyFormat(DtlsSalPdBftsPayeDedFrmDsblEmp.List,"J")</t>
  </si>
  <si>
    <t>validateCurrencyFormat(DtlsSalPdBftsPayeDedFrmDsblEmp.List,"K")</t>
  </si>
  <si>
    <t>validateCurrencyFormat(DtlsSalPdBftsPayeDedFrmDsblEmp.List,"L")</t>
  </si>
  <si>
    <t>validateCurrencyFormat(DtlsSalPdBftsPayeDedFrmDsblEmp.List,"M")</t>
  </si>
  <si>
    <t>validateCurrencyFormat(DtlsSalPdBftsPayeDedFrmDsblEmp.List,"P")</t>
  </si>
  <si>
    <t>validateCurrencyFormat(DtlsSalPdBftsPayeDedFrmDsblEmp.List,"R")</t>
  </si>
  <si>
    <t>validateCurrencyFormat(DtlsSalPdBftsPayeDedFrmDsblEmp.List,"T")</t>
  </si>
  <si>
    <t>validateCurrencyFormat(DtlsSalPdBftsPayeDedFrmDsblEmp.List,"V")</t>
  </si>
  <si>
    <t>validateCurrencyFormat(DtlsSalPdBftsPayeDedFrmDsblEmp.List,"Z")</t>
  </si>
  <si>
    <t>validateCurrencyFormat(DtlsSalPdBftsPayeDedFrmDsblEmp.List,"AB")</t>
  </si>
  <si>
    <t>validateCurrencyFormat(DtlsSalPdBftsPayeDedFrmDsblEmp.List,"AC")</t>
  </si>
  <si>
    <t>validateCurrencyFormat(DtlsSalPdBftsPayeDedFrmDsblEmp.List,"AH")</t>
  </si>
  <si>
    <t>validateCurrencyFormat(DtlsSalPdBftsPayeDedFrmDsblEmp.List,"AK")</t>
  </si>
  <si>
    <t>validateCurrencyFormat(DtlsSalPdBftsPayeDedFrmDsblEmp.List,"AI")</t>
  </si>
  <si>
    <t>D_Computation_of_Car_Benefit</t>
  </si>
  <si>
    <t>Reference to Section</t>
  </si>
  <si>
    <t>Car Registration Number</t>
  </si>
  <si>
    <t>Body Type</t>
  </si>
  <si>
    <t>CC Rating</t>
  </si>
  <si>
    <t>Type of Car Cost</t>
  </si>
  <si>
    <t>Cost of Hiring / Leasing</t>
  </si>
  <si>
    <t>Cost of Owned Car</t>
  </si>
  <si>
    <t>Value of Car Benefit</t>
  </si>
  <si>
    <t>Section D : Computation of Value of Car Benefit</t>
  </si>
  <si>
    <t>isMandatory(CarBenefit.List,"Y","A")</t>
  </si>
  <si>
    <t>isMandatory(CarBenefit.List,"Y","B")</t>
  </si>
  <si>
    <t>isMandatory(CarBenefit.List,"Y","C")</t>
  </si>
  <si>
    <t>isMandatory(CarBenefit.List,"Y","D")</t>
  </si>
  <si>
    <t>isMandatory(CarBenefit.List,"Y","E")</t>
  </si>
  <si>
    <t>isMandatory(CarBenefit.List,"Y","F")</t>
  </si>
  <si>
    <t>isMandatory(CarBenefit.List,"Y","G")</t>
  </si>
  <si>
    <t>isMandatory(CarBenefit.List,"Y","H")</t>
  </si>
  <si>
    <t>isMandatory(CarBenefit.List,"Y","I")</t>
  </si>
  <si>
    <t>isMandatory(CarBenefit.List,"N","J")</t>
  </si>
  <si>
    <t>validateTaxPyrPIN(CarBenefit.List,"A")</t>
  </si>
  <si>
    <t>validateAlphaNumeric(CarBenefit.List,"C")</t>
  </si>
  <si>
    <t>validateAlphaNumeric(CarBenefit.List,"D")</t>
  </si>
  <si>
    <t>validateCurrencyFormat(CarBenefit.List,"F")</t>
  </si>
  <si>
    <t>validateCurrencyFormat(CarBenefit.List,"H")</t>
  </si>
  <si>
    <t>validateCurrencyFormat(CarBenefit.List,"I")</t>
  </si>
  <si>
    <t>validateCurrencyFormat(CarBenefit.List,"J")</t>
  </si>
  <si>
    <t>E_Computation_of_Insu_Relief</t>
  </si>
  <si>
    <t>PIN of Insurance Company</t>
  </si>
  <si>
    <t>Name of Insurance Company</t>
  </si>
  <si>
    <t>Purpose of Policy</t>
  </si>
  <si>
    <t>Insurance Policy Number</t>
  </si>
  <si>
    <t>Policy Holder</t>
  </si>
  <si>
    <t>Age of Child</t>
  </si>
  <si>
    <t>Commencement Date</t>
  </si>
  <si>
    <t>Maturity Date</t>
  </si>
  <si>
    <t>Sum Assured</t>
  </si>
  <si>
    <t>Premium paid till month (Ksh) (A)</t>
  </si>
  <si>
    <t>Date of payment of premium</t>
  </si>
  <si>
    <t>Section E : Details of Insurance Relief</t>
  </si>
  <si>
    <t>isMandatory(InsReliefDtls.List,"Y","A")</t>
  </si>
  <si>
    <t>isMandatory(InsReliefDtls.List,"Y","B")</t>
  </si>
  <si>
    <t>isMandatory(InsReliefDtls.List,"Y","C")</t>
  </si>
  <si>
    <t>isMandatory(InsReliefDtls.List,"Y","D")</t>
  </si>
  <si>
    <t>isMandatory(InsReliefDtls.List,"Y","E")</t>
  </si>
  <si>
    <t>isMandatory(InsReliefDtls.List,"Y","F")</t>
  </si>
  <si>
    <t>isMandatory(InsReliefDtls.List,"Y","G")</t>
  </si>
  <si>
    <t>isMandatory(InsReliefDtls.List,"N","H")</t>
  </si>
  <si>
    <t>isMandatory(InsReliefDtls.List,"Y","I")</t>
  </si>
  <si>
    <t>isMandatory(InsReliefDtls.List,"Y","J")</t>
  </si>
  <si>
    <t>isMandatory(InsReliefDtls.List,"Y","K")</t>
  </si>
  <si>
    <t>isMandatory(InsReliefDtls.List,"Y","L")</t>
  </si>
  <si>
    <t>isMandatory(InsReliefDtls.List,"Y","M")</t>
  </si>
  <si>
    <t>validateTaxPyrPIN(InsReliefDtls.List,"A")</t>
  </si>
  <si>
    <t>validateTaxPyrPIN(InsReliefDtls.List,"C")</t>
  </si>
  <si>
    <t>validateAlphaNumeric(InsReliefDtls.List,"D")</t>
  </si>
  <si>
    <t>validateAlphaNumeric(InsReliefDtls.List,"F")</t>
  </si>
  <si>
    <t>validateCurrencyFormat(InsReliefDtls.List,"H")</t>
  </si>
  <si>
    <t>validateNumeric(InsReliefDtls.List,"K")</t>
  </si>
  <si>
    <t>validateNumeric(InsReliefDtls.List,"L")</t>
  </si>
  <si>
    <t>F_Lump_Sum_Payments_Dtls</t>
  </si>
  <si>
    <t>Lump Sum Payment Paid Year</t>
  </si>
  <si>
    <t>Amount of Gross Lump Sum Payment</t>
  </si>
  <si>
    <t>Emoluments of Lump Sum Payment Due Year/ Emoluments of Lump Sum Payment Due Month</t>
  </si>
  <si>
    <t>PAYE Paid in Lump Sum Payment Due Year/ Lump Sum Payment Due Month</t>
  </si>
  <si>
    <t>Section F : Calculation of PAYE Tax on Lump Sum Payments Paid after Termination</t>
  </si>
  <si>
    <t>isMandatory(TaxPdOnLumpSumPdAftrTrmtn.List,"Y","A")</t>
  </si>
  <si>
    <t>isMandatory(TaxPdOnLumpSumPdAftrTrmtn.List,"Y","B")</t>
  </si>
  <si>
    <t>isMandatory(TaxPdOnLumpSumPdAftrTrmtn.List,"Y","C")</t>
  </si>
  <si>
    <t>isMandatory(TaxPdOnLumpSumPdAftrTrmtn.List,"Y","D")</t>
  </si>
  <si>
    <t>isMandatory(TaxPdOnLumpSumPdAftrTrmtn.List,"Y","E")</t>
  </si>
  <si>
    <t>isMandatory(TaxPdOnLumpSumPdAftrTrmtn.List,"Y","F")</t>
  </si>
  <si>
    <t>isMandatory(TaxPdOnLumpSumPdAftrTrmtn.List,"Y","G")</t>
  </si>
  <si>
    <t>isMandatory(TaxPdOnLumpSumPdAftrTrmtn.List,"Y","H")</t>
  </si>
  <si>
    <t>isMandatory(TaxPdOnLumpSumPdAftrTrmtn.List,"Y","K")</t>
  </si>
  <si>
    <t>validateTaxPyrPIN(TaxPdOnLumpSumPdAftrTrmtn.List,"A")</t>
  </si>
  <si>
    <t>validateAlphaNumeric(TaxPdOnLumpSumPdAftrTrmtn.List,"B")</t>
  </si>
  <si>
    <t>validateNumeric(TaxPdOnLumpSumPdAftrTrmtn.List,"E")</t>
  </si>
  <si>
    <t>validateNumeric(TaxPdOnLumpSumPdAftrTrmtn.List,"F")</t>
  </si>
  <si>
    <t>validateNumeric(TaxPdOnLumpSumPdAftrTrmtn.List,"G")</t>
  </si>
  <si>
    <t>validateNumeric(TaxPdOnLumpSumPdAftrTrmtn.List,"H")</t>
  </si>
  <si>
    <t>validateNumeric(TaxPdOnLumpSumPdAftrTrmtn.List,"K")</t>
  </si>
  <si>
    <t>Arrears for the Month</t>
  </si>
  <si>
    <t>Arrears Year</t>
  </si>
  <si>
    <t xml:space="preserve">Amount of PAYE Already Paid </t>
  </si>
  <si>
    <t>Section G : Details of Arrears of Salary and  Benefits</t>
  </si>
  <si>
    <t>isMandatory(DtlsArrSalPdBftsPayeDedFrmEmp.List,"Y","A")</t>
  </si>
  <si>
    <t>isMandatory(DtlsArrSalPdBftsPayeDedFrmEmp.List,"Y","B")</t>
  </si>
  <si>
    <t>isMandatory(DtlsArrSalPdBftsPayeDedFrmEmp.List,"Y","C")</t>
  </si>
  <si>
    <t>isMandatory(DtlsArrSalPdBftsPayeDedFrmEmp.List,"Y","D")</t>
  </si>
  <si>
    <t>isMandatory(DtlsArrSalPdBftsPayeDedFrmEmp.List,"Y","E")</t>
  </si>
  <si>
    <t>isMandatory(DtlsArrSalPdBftsPayeDedFrmEmp.List,"Y","F")</t>
  </si>
  <si>
    <t>isMandatory(DtlsArrSalPdBftsPayeDedFrmEmp.List,"Y","G")</t>
  </si>
  <si>
    <t>isMandatory(DtlsArrSalPdBftsPayeDedFrmEmp.List,"Y","H")</t>
  </si>
  <si>
    <t>isMandatory(DtlsArrSalPdBftsPayeDedFrmEmp.List,"Y","I")</t>
  </si>
  <si>
    <t>isMandatory(DtlsArrSalPdBftsPayeDedFrmEmp.List,"Y","J")</t>
  </si>
  <si>
    <t>isMandatory(DtlsArrSalPdBftsPayeDedFrmEmp.List,"Y","K")</t>
  </si>
  <si>
    <t>isMandatory(DtlsArrSalPdBftsPayeDedFrmEmp.List,"Y","L")</t>
  </si>
  <si>
    <t>isMandatory(DtlsArrSalPdBftsPayeDedFrmEmp.List,"Y","M")</t>
  </si>
  <si>
    <t>isMandatory(DtlsArrSalPdBftsPayeDedFrmEmp.List,"Y","N")</t>
  </si>
  <si>
    <t>isMandatory(DtlsArrSalPdBftsPayeDedFrmEmp.List,"Y","Q")</t>
  </si>
  <si>
    <t>isMandatory(DtlsArrSalPdBftsPayeDedFrmEmp.List,"Y","S")</t>
  </si>
  <si>
    <t>isMandatory(DtlsArrSalPdBftsPayeDedFrmEmp.List,"Y","T")</t>
  </si>
  <si>
    <t>isMandatory(DtlsArrSalPdBftsPayeDedFrmEmp.List,"Y","U")</t>
  </si>
  <si>
    <t>isMandatory(DtlsArrSalPdBftsPayeDedFrmEmp.List,"Y","W")</t>
  </si>
  <si>
    <t>isMandatory(DtlsArrSalPdBftsPayeDedFrmEmp.List,"Y","AA")</t>
  </si>
  <si>
    <t>isMandatory(DtlsArrSalPdBftsPayeDedFrmEmp.List,"Y","AC")</t>
  </si>
  <si>
    <t>isMandatory(DtlsArrSalPdBftsPayeDedFrmEmp.List,"Y","AD")</t>
  </si>
  <si>
    <t>isMandatory(DtlsArrSalPdBftsPayeDedFrmEmp.List,"Y","AH")</t>
  </si>
  <si>
    <t>isMandatory(DtlsArrSalPdBftsPayeDedFrmEmp.List,"Y","AK")</t>
  </si>
  <si>
    <t>isMandatory(DtlsArrSalPdBftsPayeDedFrmEmp.List,"Y","AM")</t>
  </si>
  <si>
    <t>isMandatory(DtlsArrSalPdBftsPayeDedFrmEmp.List,"N","AI")</t>
  </si>
  <si>
    <t>validateTaxPyrPIN(DtlsArrSalPdBftsPayeDedFrmEmp.List,"A")</t>
  </si>
  <si>
    <t>validateAlphaNumeric(DtlsArrSalPdBftsPayeDedFrmEmp.List,"B")</t>
  </si>
  <si>
    <t>validateArrearsDateDiff(DtlsArrSalPdBftsPayeDedFrmEmp.List,"C","AP","D")</t>
  </si>
  <si>
    <t>validateCurrencyFormat(DtlsArrSalPdBftsPayeDedFrmEmp.List,"G")</t>
  </si>
  <si>
    <t>validateCurrencyFormat(DtlsArrSalPdBftsPayeDedFrmEmp.List,"H")</t>
  </si>
  <si>
    <t>validateCurrencyFormat(DtlsArrSalPdBftsPayeDedFrmEmp.List,"I")</t>
  </si>
  <si>
    <t>validateCurrencyFormat(DtlsArrSalPdBftsPayeDedFrmEmp.List,"J")</t>
  </si>
  <si>
    <t>validateCurrencyFormat(DtlsArrSalPdBftsPayeDedFrmEmp.List,"K")</t>
  </si>
  <si>
    <t>validateCurrencyFormat(DtlsArrSalPdBftsPayeDedFrmEmp.List,"L")</t>
  </si>
  <si>
    <t>validateCurrencyFormat(DtlsArrSalPdBftsPayeDedFrmEmp.List,"M")</t>
  </si>
  <si>
    <t>validateCurrencyFormat(DtlsArrSalPdBftsPayeDedFrmEmp.List,"N")</t>
  </si>
  <si>
    <t>validateCurrencyFormat(DtlsArrSalPdBftsPayeDedFrmEmp.List,"Q")</t>
  </si>
  <si>
    <t>validateCurrencyFormat(DtlsArrSalPdBftsPayeDedFrmEmp.List,"S")</t>
  </si>
  <si>
    <t>validateCurrencyFormat(DtlsArrSalPdBftsPayeDedFrmEmp.List,"U")</t>
  </si>
  <si>
    <t>validateCurrencyFormat(DtlsArrSalPdBftsPayeDedFrmEmp.List,"W")</t>
  </si>
  <si>
    <t>validateCurrencyFormat(DtlsArrSalPdBftsPayeDedFrmEmp.List,"AA")</t>
  </si>
  <si>
    <t>validateCurrencyFormat(DtlsArrSalPdBftsPayeDedFrmEmp.List,"AC")</t>
  </si>
  <si>
    <t>validateCurrencyFormat(DtlsArrSalPdBftsPayeDedFrmEmp.List,"AD")</t>
  </si>
  <si>
    <t>validateCurrencyFormat(DtlsArrSalPdBftsPayeDedFrmEmp.List,"AH")</t>
  </si>
  <si>
    <t>validateCurrencyFormat(DtlsArrSalPdBftsPayeDedFrmEmp.List,"AK")</t>
  </si>
  <si>
    <t>validateCurrencyFormat(DtlsArrSalPdBftsPayeDedFrmEmp.List,"AM")</t>
  </si>
  <si>
    <t>validateCurrencyFormat(DtlsArrSalPdBftsPayeDedFrmEmp.List,"AI")</t>
  </si>
  <si>
    <t>The arrears period can only be upto 60 months prior from the return period.</t>
  </si>
  <si>
    <t>Section H : Details of Arrears of Salary and  Benefits</t>
  </si>
  <si>
    <t>isMandatory(DtlsArrSalPdBftsPayeDedFrmDsblEmp.List,"Y","A")</t>
  </si>
  <si>
    <t>isMandatory(DtlsArrSalPdBftsPayeDedFrmDsblEmp.List,"Y","B")</t>
  </si>
  <si>
    <t>isMandatory(DtlsArrSalPdBftsPayeDedFrmDsblEmp.List,"Y","C")</t>
  </si>
  <si>
    <t>isMandatory(DtlsArrSalPdBftsPayeDedFrmDsblEmp.List,"Y","D")</t>
  </si>
  <si>
    <t>isMandatory(DtlsArrSalPdBftsPayeDedFrmDsblEmp.List,"Y","E")</t>
  </si>
  <si>
    <t>isMandatory(DtlsArrSalPdBftsPayeDedFrmDsblEmp.List,"Y","F")</t>
  </si>
  <si>
    <t>isMandatory(DtlsArrSalPdBftsPayeDedFrmDsblEmp.List,"Y","G")</t>
  </si>
  <si>
    <t>isMandatory(DtlsArrSalPdBftsPayeDedFrmDsblEmp.List,"Y","H")</t>
  </si>
  <si>
    <t>isMandatory(DtlsArrSalPdBftsPayeDedFrmDsblEmp.List,"Y","I")</t>
  </si>
  <si>
    <t>isMandatory(DtlsArrSalPdBftsPayeDedFrmDsblEmp.List,"Y","J")</t>
  </si>
  <si>
    <t>isMandatory(DtlsArrSalPdBftsPayeDedFrmDsblEmp.List,"Y","K")</t>
  </si>
  <si>
    <t>isMandatory(DtlsArrSalPdBftsPayeDedFrmDsblEmp.List,"Y","L")</t>
  </si>
  <si>
    <t>isMandatory(DtlsArrSalPdBftsPayeDedFrmDsblEmp.List,"Y","M")</t>
  </si>
  <si>
    <t>isMandatory(DtlsArrSalPdBftsPayeDedFrmDsblEmp.List,"Y","N")</t>
  </si>
  <si>
    <t>isMandatory(DtlsArrSalPdBftsPayeDedFrmDsblEmp.List,"Y","O")</t>
  </si>
  <si>
    <t>isMandatory(DtlsArrSalPdBftsPayeDedFrmDsblEmp.List,"Y","S")</t>
  </si>
  <si>
    <t>isMandatory(DtlsArrSalPdBftsPayeDedFrmDsblEmp.List,"Y","T")</t>
  </si>
  <si>
    <t>isMandatory(DtlsArrSalPdBftsPayeDedFrmDsblEmp.List,"Y","U")</t>
  </si>
  <si>
    <t>isMandatory(DtlsArrSalPdBftsPayeDedFrmDsblEmp.List,"Y","V")</t>
  </si>
  <si>
    <t>isMandatory(DtlsArrSalPdBftsPayeDedFrmDsblEmp.List,"Y","X")</t>
  </si>
  <si>
    <t>isMandatory(DtlsArrSalPdBftsPayeDedFrmDsblEmp.List,"Y","AB")</t>
  </si>
  <si>
    <t>isMandatory(DtlsArrSalPdBftsPayeDedFrmDsblEmp.List,"Y","AD")</t>
  </si>
  <si>
    <t>isMandatory(DtlsArrSalPdBftsPayeDedFrmDsblEmp.List,"Y","AE")</t>
  </si>
  <si>
    <t>isMandatory(DtlsArrSalPdBftsPayeDedFrmDsblEmp.List,"Y","AJ")</t>
  </si>
  <si>
    <t>isMandatory(DtlsArrSalPdBftsPayeDedFrmDsblEmp.List,"Y","AM")</t>
  </si>
  <si>
    <t>isMandatory(DtlsArrSalPdBftsPayeDedFrmDsblEmp.List,"Y","AO")</t>
  </si>
  <si>
    <t>isMandatory(DtlsArrSalPdBftsPayeDedFrmDsblEmp.List,"N","AK")</t>
  </si>
  <si>
    <t>validateTaxPyrPIN(DtlsArrSalPdBftsPayeDedFrmDsblEmp.List,"A")</t>
  </si>
  <si>
    <t>validateAlphaNumeric(DtlsArrSalPdBftsPayeDedFrmDsblEmp.List,"B")</t>
  </si>
  <si>
    <t>validateArrearsDateDiff(DtlsArrSalPdBftsPayeDedFrmDsblEmp.List,"C","AR","D")</t>
  </si>
  <si>
    <t>validateCurrencyFormat(DtlsArrSalPdBftsPayeDedFrmDsblEmp.List,"H")</t>
  </si>
  <si>
    <t>validateCurrencyFormat(DtlsArrSalPdBftsPayeDedFrmDsblEmp.List,"I")</t>
  </si>
  <si>
    <t>validateCurrencyFormat(DtlsArrSalPdBftsPayeDedFrmDsblEmp.List,"J")</t>
  </si>
  <si>
    <t>validateCurrencyFormat(DtlsArrSalPdBftsPayeDedFrmDsblEmp.List,"K")</t>
  </si>
  <si>
    <t>validateCurrencyFormat(DtlsArrSalPdBftsPayeDedFrmDsblEmp.List,"L")</t>
  </si>
  <si>
    <t>validateCurrencyFormat(DtlsArrSalPdBftsPayeDedFrmDsblEmp.List,"M")</t>
  </si>
  <si>
    <t>validateCurrencyFormat(DtlsArrSalPdBftsPayeDedFrmDsblEmp.List,"N")</t>
  </si>
  <si>
    <t>validateCurrencyFormat(DtlsArrSalPdBftsPayeDedFrmDsblEmp.List,"O")</t>
  </si>
  <si>
    <t>validateCurrencyFormat(DtlsArrSalPdBftsPayeDedFrmDsblEmp.List,"S")</t>
  </si>
  <si>
    <t>validateCurrencyFormat(DtlsArrSalPdBftsPayeDedFrmDsblEmp.List,"T")</t>
  </si>
  <si>
    <t>validateCurrencyFormat(DtlsArrSalPdBftsPayeDedFrmDsblEmp.List,"V")</t>
  </si>
  <si>
    <t>validateCurrencyFormat(DtlsArrSalPdBftsPayeDedFrmDsblEmp.List,"X")</t>
  </si>
  <si>
    <t>validateCurrencyFormat(DtlsArrSalPdBftsPayeDedFrmDsblEmp.List,"AB")</t>
  </si>
  <si>
    <t>validateCurrencyFormat(DtlsArrSalPdBftsPayeDedFrmDsblEmp.List,"AD")</t>
  </si>
  <si>
    <t>validateCurrencyFormat(DtlsArrSalPdBftsPayeDedFrmDsblEmp.List,"AE")</t>
  </si>
  <si>
    <t>validateCurrencyFormat(DtlsArrSalPdBftsPayeDedFrmDsblEmp.List,"AJ")</t>
  </si>
  <si>
    <t>validateCurrencyFormat(DtlsArrSalPdBftsPayeDedFrmDsblEmp.List,"AM")</t>
  </si>
  <si>
    <t>validateCurrencyFormat(DtlsArrSalPdBftsPayeDedFrmDsblEmp.List,"AO")</t>
  </si>
  <si>
    <t>validateCurrencyFormat(DtlsArrSalPdBftsPayeDedFrmDsblEmp.List,"AK")</t>
  </si>
  <si>
    <t>J_FBT_Dtls</t>
  </si>
  <si>
    <t>Loan Amount</t>
  </si>
  <si>
    <t>Amount of Loan Outstanding</t>
  </si>
  <si>
    <t>Rate of Interest on Loan</t>
  </si>
  <si>
    <t>Prescribed Market Interest Rate</t>
  </si>
  <si>
    <t>Section J : Calculation of Fringe Benefit Tax Payable</t>
  </si>
  <si>
    <t>isMandatory(FringeBenf.TaxCalcList,"Y","A")</t>
  </si>
  <si>
    <t>isMandatory(FringeBenf.TaxCalcList,"Y","B")</t>
  </si>
  <si>
    <t>isMandatory(FringeBenf.TaxCalcList,"Y","C")</t>
  </si>
  <si>
    <t>isMandatory(FringeBenf.TaxCalcList,"Y","D")</t>
  </si>
  <si>
    <t>isMandatory(FringeBenf.TaxCalcList,"Y","E")</t>
  </si>
  <si>
    <t>isMandatory(FringeBenf.TaxCalcList,"Y","F")</t>
  </si>
  <si>
    <t>isMandatory(FringeBenf.TaxCalcList,"Y","H")</t>
  </si>
  <si>
    <t>validateTaxPyrPIN(FringeBenf.TaxCalcList,"A")</t>
  </si>
  <si>
    <t>validateAlphaNumeric(FringeBenf.TaxCalcList,"B")</t>
  </si>
  <si>
    <t>validateAlphaNumericOnly(FringeBenf.TaxCalcList,"C")</t>
  </si>
  <si>
    <t>validateCurrencyFormat(FringeBenf.TaxCalcList,"D")</t>
  </si>
  <si>
    <t>validateCurrencyFormat(FringeBenf.TaxCalcList,"E")</t>
  </si>
  <si>
    <t>validateCurrencyFormat(FringeBenf.TaxCalcList,"H")</t>
  </si>
  <si>
    <t>I_Gratuity_Dtls</t>
  </si>
  <si>
    <t>Gratuity Paid Month</t>
  </si>
  <si>
    <t xml:space="preserve">Gratuity Paid Year </t>
  </si>
  <si>
    <t>Gratuity Period in Years</t>
  </si>
  <si>
    <t>Gratuity Value (Ksh)</t>
  </si>
  <si>
    <t>Section I : Calculation of PAYE Tax Payable on Gratuity</t>
  </si>
  <si>
    <t>isMandatory(CalPayeTaxPyblOnGratI.List,"Y","A")</t>
  </si>
  <si>
    <t>isMandatory(CalPayeTaxPyblOnGratI.List,"Y","B")</t>
  </si>
  <si>
    <t>isMandatory(CalPayeTaxPyblOnGratI.List,"Y","C")</t>
  </si>
  <si>
    <t>isMandatory(CalPayeTaxPyblOnGratI.List,"Y","D")</t>
  </si>
  <si>
    <t>isMandatory(CalPayeTaxPyblOnGratI.List,"Y","E")</t>
  </si>
  <si>
    <t>isMandatory(CalPayeTaxPyblOnGratI.List,"Y","F")</t>
  </si>
  <si>
    <t>isMandatory(CalPayeTaxPyblOnGratI.List,"Y","G")</t>
  </si>
  <si>
    <t>validateTaxPyrPIN(CalPayeTaxPyblOnGratI.List,"A")</t>
  </si>
  <si>
    <t>validateAlphaNumeric(CalPayeTaxPyblOnGratI.List,"B")</t>
  </si>
  <si>
    <t>validateEqlGivenString(CalPayeTaxPyblOnGratI.List,RtnInf.Month,"C")</t>
  </si>
  <si>
    <t>validateEqlGivenYear(CalPayeTaxPyblOnGratI.List,RtnInf.RtnYear,"D")</t>
  </si>
  <si>
    <t>validateBeforeGivenYear(CalPayeTaxPyblOnGratI.List,RtnInf.RtnYear,"E")</t>
  </si>
  <si>
    <t>validateCurrencyFormat(CalPayeTaxPyblOnGratI.List,"G")</t>
  </si>
  <si>
    <t>Section I : Calculation of PAYE Tax Payable on Gratuity for Specific PIN</t>
  </si>
  <si>
    <t>isMandatory(CalPayeTaxPyblOnGratII.List,"Y","D")</t>
  </si>
  <si>
    <t>isMandatory(CalPayeTaxPyblOnGratII.List,"Y","G")</t>
  </si>
  <si>
    <t>Payment Registration Number</t>
  </si>
  <si>
    <t>Date of Deposit</t>
  </si>
  <si>
    <t>Amount of PAYE Tax Paid</t>
  </si>
  <si>
    <t>isMandatory(DtlsPaye.TaxPaidAdvList,"Y","A")</t>
  </si>
  <si>
    <t>isMandatory(DtlsPaye.TaxPaidAdvList,"Y","B")</t>
  </si>
  <si>
    <t>isMandatory(DtlsPaye.TaxPaidAdvList,"Y","C")</t>
  </si>
  <si>
    <t>validatePRNNumeric(DtlsPaye.TaxPaidAdvList,"A")</t>
  </si>
  <si>
    <t>validatePrnAmount(DtlsPaye.TaxPaidAdvList,"C")</t>
  </si>
  <si>
    <t>Please enter numeric value.Only Special characters like (-) is allowed.</t>
  </si>
  <si>
    <t>ValidationRule3</t>
  </si>
  <si>
    <t>validatePRNAllzero(DtlsPaye.TaxPaidAdvList,"A")</t>
  </si>
  <si>
    <t>All the digits in the Payment Registration Number cannot be '0'. Please enter Payment Registration Number in proper format.</t>
  </si>
  <si>
    <t>isMandatory(DtlsPaye.SelfAssTaxPaidList,"Y","A")</t>
  </si>
  <si>
    <t>isMandatory(DtlsPaye.SelfAssTaxPaidList,"Y","B")</t>
  </si>
  <si>
    <t>isMandatory(DtlsPaye.SelfAssTaxPaidList,"Y","C")</t>
  </si>
  <si>
    <t>validatePRNNumeric(DtlsPaye.SelfAssTaxPaidList,"A")</t>
  </si>
  <si>
    <t>validatePrnAmount(DtlsPaye.SelfAssTaxPaidList,"C")</t>
  </si>
  <si>
    <t>validatePRNAllzero(DtlsPaye.SelfAssTaxPaidList,"A")</t>
  </si>
  <si>
    <t>PAYE Monthly Return</t>
  </si>
  <si>
    <r>
      <t xml:space="preserve">Employer's 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</si>
  <si>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</si>
  <si>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</si>
  <si>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</si>
  <si>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</si>
  <si>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Cash Pay (Ksh)</t>
  </si>
  <si>
    <t>Non Cash Benefits (Ksh)</t>
  </si>
  <si>
    <t>Housing Benefit (Ksh)</t>
  </si>
  <si>
    <t>Benefits (Ksh)</t>
  </si>
  <si>
    <t>Defined /Pension Contribution Benefit (Ksh)</t>
  </si>
  <si>
    <t>Total Cash Pay (A)</t>
  </si>
  <si>
    <t>Value of Car Benefit ("Value of Car Benefit" from D_Computation_of_
Car_Benefit)(B)</t>
  </si>
  <si>
    <t>Other Non Cash Benefits (C)</t>
  </si>
  <si>
    <t>Total Non Cash Pay (D)=(B + C) (C if greater than 3,000)</t>
  </si>
  <si>
    <t>Global Income (In case of non full time service Director) (Ksh) (E)</t>
  </si>
  <si>
    <t>Rent of House/Market Value</t>
  </si>
  <si>
    <t>Computed Rent of House (F)</t>
  </si>
  <si>
    <t>Rent Recovered from Employee (G)</t>
  </si>
  <si>
    <t>Net Value of Housing (Ksh) (H) = (F - G)</t>
  </si>
  <si>
    <t>Total Gross Pay (Ksh) (I) = (A + D + E + H))</t>
  </si>
  <si>
    <t>30% of Cash Pay (J) = (A)*30%</t>
  </si>
  <si>
    <t>Actual Contribution (K)</t>
  </si>
  <si>
    <t>Permissible Limit (L)</t>
  </si>
  <si>
    <t>Amount of Benefit (O) = (Lower of J,K,L + M or N which ever is higher)</t>
  </si>
  <si>
    <t>Taxable Pay (Ksh) (P) = (I - O)</t>
  </si>
  <si>
    <t>Tax Payable (Ksh) (Q) = (P)*Slab Rate</t>
  </si>
  <si>
    <t>PAYE Tax (Ksh) (T) = 
(Q - R - S)</t>
  </si>
  <si>
    <t>Self Assessed PAYE Tax (Ksh)</t>
  </si>
  <si>
    <t>Total</t>
  </si>
  <si>
    <t xml:space="preserve">Benefits </t>
  </si>
  <si>
    <t>Value of Car Benefit ("Value of Car Benefit" from D_Computation_
of_Car_Benefit) (B)</t>
  </si>
  <si>
    <t>Total Gross Pay (Ksh) (I) = (A + D + E + H)</t>
  </si>
  <si>
    <t>Exemption for Persons with Disability (Ksh) (P)</t>
  </si>
  <si>
    <t>Taxable Pay (Ksh) (Q) = (I - O -P)</t>
  </si>
  <si>
    <t>Tax Payable (Ksh) (R) = (Q)*Slab Rate</t>
  </si>
  <si>
    <t>PAYE Tax (Ksh) (U) = (R-S-T)</t>
  </si>
  <si>
    <t>DtlsSalPdBftsPayeDedFrmEmp_List</t>
  </si>
  <si>
    <t>Cost of Hiring / Leasing (Ksh)</t>
  </si>
  <si>
    <t>Cost of Owned Car (Ksh)</t>
  </si>
  <si>
    <t>Value of Car Benefit (Ksh)</t>
  </si>
  <si>
    <t>Sum Assured (Ksh)</t>
  </si>
  <si>
    <t>Amount of Insurance Relief (Ksh)(A) * 15%</t>
  </si>
  <si>
    <t>Total Revised Income (Ksh) (C)= (A+B)</t>
  </si>
  <si>
    <t>PAYE Deducted on Revised Income (Ksh) (D)</t>
  </si>
  <si>
    <t>PAYE Paid in Lump Sum Payment Due Year (Ksh) / Lump Sum Payment Due Month (Ksh) (E)</t>
  </si>
  <si>
    <t>Amount of PAYE Tax Payable (Ksh) (F) = (D - E)</t>
  </si>
  <si>
    <t>Section G : Details of Arrears of Salary and  Benefits paid and PAYE deducted from Employee(s)</t>
  </si>
  <si>
    <t>Value of Car Benefit ("Value of Car Benefit" from D_Computation
_of_Car_Benefit) (B)</t>
  </si>
  <si>
    <t>Total Non Cash Pay (D)=(B+C) (C if greater than 3,000)</t>
  </si>
  <si>
    <t>Value of Housing (Ksh) (H) = (F - G)</t>
  </si>
  <si>
    <t>Total Gross Pay (Ksh) (I) = (A+D+E+H)</t>
  </si>
  <si>
    <t>PAYE Tax (Ksh) (T) = (Q - R - S)</t>
  </si>
  <si>
    <t>Amount of PAYE Already Paid (Ksh) (U)</t>
  </si>
  <si>
    <t>Final PAYE Tax (Ksh) (V) = (T - U)</t>
  </si>
  <si>
    <t>Section H : Details of Arrears of Salary and  Benefits paid and PAYE deducted from Persons with Disability</t>
  </si>
  <si>
    <t>Amount of PAYE Already Paid (Ksh) (V)</t>
  </si>
  <si>
    <t>Final PAYE Tax (Ksh) (W) = (U - V)</t>
  </si>
  <si>
    <t>Amount of Tax Payable on Gratuity (Ksh)</t>
  </si>
  <si>
    <t>Calculation of PAYE Tax Payable on Gratuity for Specific PIN</t>
  </si>
  <si>
    <t>Gratuity Year</t>
  </si>
  <si>
    <t>Gratuity Value (Ksh) (A)</t>
  </si>
  <si>
    <t>Total Revised Income (Ksh)(C)=(A+B)</t>
  </si>
  <si>
    <t>Tax on Revised Income (Ksh) (D)</t>
  </si>
  <si>
    <t>Amount of Tax Payable on Gratuity (Ksh) (F) = (D-E)</t>
  </si>
  <si>
    <t>Interest on Loan (Ksh) (C)=(A)*(B)</t>
  </si>
  <si>
    <t>Prescribed Market Interest Rate (%) (D)</t>
  </si>
  <si>
    <t>Prescribed Market Interest (Ksh) (E) = (A)*(D)</t>
  </si>
  <si>
    <t>Amount of Fringe Benefit (Ksh) (F) = (E - C)</t>
  </si>
  <si>
    <t>Amount of PAYE Tax Paid (Ksh)</t>
  </si>
  <si>
    <t>Total (Section K1 Total + Section K2 Total)</t>
  </si>
  <si>
    <t>Description</t>
  </si>
  <si>
    <t>Amount (Ksh)</t>
  </si>
  <si>
    <t>Total Employees (Total records of B_Employees_Dtls and C_Disabled_Employees_Dtls)</t>
  </si>
  <si>
    <t>PAYE Tax deducted from the Employee(s) (Total of "Self Assessed PAYE Tax" from B_Employees_Dtls)</t>
  </si>
  <si>
    <t>PAYE Tax deducted from Persons with Disability (Total of "Self Assessed PAYE Tax" from C_Disabled_Employees_Dtls)</t>
  </si>
  <si>
    <t>PAYE Tax on Lump Sum Payment on Termination (Total of "Amount of PAYE Payable" from F_Lump_Sum_Payments_Dtls)</t>
  </si>
  <si>
    <t>PAYE Tax deducted from Employee(s) on Arrears (Total of "Self Assessed PAYE Tax" from G_Arrears_Dtls_E)</t>
  </si>
  <si>
    <t>PAYE Tax deducted from Persons with Disability on Arrears (Total of "Self Assessed PAYE Tax" from H_Arrears_Dtls_DE)</t>
  </si>
  <si>
    <t>PAYE Tax deducted on Gratuity (Total of "Amount of Tax Payable on Gratuity" from I_Gratuity_Dtls)</t>
  </si>
  <si>
    <t>Fringe Benefit Tax (Total of "Amount of Fringe Benefit Tax" from J_FBT_Dtls)</t>
  </si>
  <si>
    <t>Total PAYE Tax Payable for the Month (2+3+4+5+6+7+8)</t>
  </si>
  <si>
    <r>
      <t xml:space="preserve">Previous month PAYE Tax (If the amount was less than 100 Ksh and not paid) </t>
    </r>
    <r>
      <rPr>
        <sz val="12"/>
        <color indexed="10"/>
        <rFont val="Book Antiqua"/>
        <family val="1"/>
      </rPr>
      <t>*</t>
    </r>
  </si>
  <si>
    <t>PAYE Paid in Advance (Total of "Amount of PAYE Tax Paid" from K_PAYE_Payment_Credits)</t>
  </si>
  <si>
    <t>RetInf</t>
  </si>
  <si>
    <t>e3b0c44298fc1c149afbf4c8996fb92427ae41e4649b934ca495991b7852b855</t>
  </si>
  <si>
    <t/>
  </si>
  <si>
    <t>A117:C118</t>
  </si>
  <si>
    <t>&lt;&gt;Benefit not given</t>
  </si>
  <si>
    <t>&lt;&gt;House to Non full time service Director</t>
  </si>
  <si>
    <t>&lt;&gt;Employer's Owned House</t>
  </si>
  <si>
    <t>&lt;&gt;Employer's Rented House</t>
  </si>
  <si>
    <t>&lt;&gt;Agriculture Farm</t>
  </si>
  <si>
    <t xml:space="preserve">'Type of Housing' should contain value 'Benefit not given' or 'House to Non full time service Director' or 'Employer's Owned House' or 'Employer's Rented House' or 'Agriculture Farm' in following row(s): </t>
  </si>
  <si>
    <t>A133:E134</t>
  </si>
  <si>
    <t>crit38</t>
  </si>
  <si>
    <t xml:space="preserve">Reference to Section' should contain value 'B_Employees_Dtls' or C_Disabled_Employees_Dtls' or 'G_Arrears_Dtls_E' or 'H_Arrears_Dtls_DE'  in following row(s): </t>
  </si>
  <si>
    <t>A1:B3</t>
  </si>
  <si>
    <t>A6:B8</t>
  </si>
  <si>
    <t>A11:A12</t>
  </si>
  <si>
    <t>A15:A16</t>
  </si>
  <si>
    <t>A19:A20</t>
  </si>
  <si>
    <t>A5:B7</t>
  </si>
  <si>
    <t>A10:B11</t>
  </si>
  <si>
    <t>A14:B15</t>
  </si>
  <si>
    <t>A18:A19</t>
  </si>
  <si>
    <t>A22:B23</t>
  </si>
  <si>
    <t>A26:B27</t>
  </si>
  <si>
    <t>A30:B31</t>
  </si>
  <si>
    <t>A34:B35</t>
  </si>
  <si>
    <t>A38:B39</t>
  </si>
  <si>
    <t>A42:B43</t>
  </si>
  <si>
    <t>A46:B47</t>
  </si>
  <si>
    <t>A50:B51</t>
  </si>
  <si>
    <t>A54:B55</t>
  </si>
  <si>
    <t>A58:B59</t>
  </si>
  <si>
    <t>A62:B63</t>
  </si>
  <si>
    <t>A66:B67</t>
  </si>
  <si>
    <t>A70:B71</t>
  </si>
  <si>
    <t>A74:B75</t>
  </si>
  <si>
    <t>A78:B79</t>
  </si>
  <si>
    <t>A82:B83</t>
  </si>
  <si>
    <t>A86:A87</t>
  </si>
  <si>
    <t>A90:A91</t>
  </si>
  <si>
    <t>A94:A95</t>
  </si>
  <si>
    <t>A98:A99</t>
  </si>
  <si>
    <t>A102:A103</t>
  </si>
  <si>
    <t>A106:A107</t>
  </si>
  <si>
    <t>A110:A111</t>
  </si>
  <si>
    <t>A114:A115</t>
  </si>
  <si>
    <t>A118:A119</t>
  </si>
  <si>
    <t>A122:A123</t>
  </si>
  <si>
    <t>A126:C127</t>
  </si>
  <si>
    <t>A130:C131</t>
  </si>
  <si>
    <t>A134:C135</t>
  </si>
  <si>
    <t>A138:C139</t>
  </si>
  <si>
    <t>A142:E143</t>
  </si>
  <si>
    <t>A74:A75</t>
  </si>
  <si>
    <t>A86:B87</t>
  </si>
  <si>
    <t>A146:C147</t>
  </si>
  <si>
    <t>A150:E151</t>
  </si>
  <si>
    <t>&lt;0</t>
  </si>
  <si>
    <t>&gt;100</t>
  </si>
  <si>
    <t xml:space="preserve">'Prescribed Market Interest Rate (%) (D)' should contain value in range from 0 to 100 in following row(s): </t>
  </si>
  <si>
    <t>A13:B15</t>
  </si>
  <si>
    <t>A18:B20</t>
  </si>
  <si>
    <t xml:space="preserve">'Rate of Interest on Loan (%) (B)' should contain value in range from 0 to 100 in following row(s): </t>
  </si>
  <si>
    <t xml:space="preserve">Arrears for the Month' should contain value 'January' or 'February' or ...'December' in following row(s): </t>
  </si>
  <si>
    <t xml:space="preserve">Arrears Year' should contain value in range from 2000 to current financial year in following row(s): </t>
  </si>
  <si>
    <t xml:space="preserve">Residential Status' should contain value 'Resident' or 'Non-Resident' in following row(s): </t>
  </si>
  <si>
    <t>A145:C146</t>
  </si>
  <si>
    <t>A149:C150</t>
  </si>
  <si>
    <t>crit39</t>
  </si>
  <si>
    <t>A153:B154</t>
  </si>
  <si>
    <t>crit40</t>
  </si>
  <si>
    <t>A157:B158</t>
  </si>
  <si>
    <t>crit41</t>
  </si>
  <si>
    <t>A161:B162</t>
  </si>
  <si>
    <t>crit42</t>
  </si>
  <si>
    <t>A165:B166</t>
  </si>
  <si>
    <t xml:space="preserve">As 'Type' contains 'Secondary Employee', 'Actual Contribution (K)' should be blank in following row(s): </t>
  </si>
  <si>
    <t xml:space="preserve">As 'Type' contains 'Secondary Employee', 'Mortgage Interest (M)' should be blank in following row(s): </t>
  </si>
  <si>
    <t xml:space="preserve">As 'Type' contains 'Secondary Employee', 'Monthly Personal Relief (Ksh) (R)' should be blank in following row(s): </t>
  </si>
  <si>
    <t>crit43</t>
  </si>
  <si>
    <t>A169:B170</t>
  </si>
  <si>
    <t>crit44</t>
  </si>
  <si>
    <t>A173:B174</t>
  </si>
  <si>
    <t>crit45</t>
  </si>
  <si>
    <t>A177:B178</t>
  </si>
  <si>
    <t xml:space="preserve">As 'Type' contains 'Secondary Employee', 'Monthly Personal Relief (Ksh) (S)' should be blank in following row(s): </t>
  </si>
  <si>
    <t>A150:C151</t>
  </si>
  <si>
    <t>A154:C155</t>
  </si>
  <si>
    <t>A158:C159</t>
  </si>
  <si>
    <t>A162:B163</t>
  </si>
  <si>
    <t>A166:B167</t>
  </si>
  <si>
    <t>A170:B171</t>
  </si>
  <si>
    <t>A174:B175</t>
  </si>
  <si>
    <t>A162:C163</t>
  </si>
  <si>
    <t>A166:C167</t>
  </si>
  <si>
    <t>A178:B179</t>
  </si>
  <si>
    <t>crit46</t>
  </si>
  <si>
    <t>A182:B183</t>
  </si>
  <si>
    <t>A126:A127</t>
  </si>
  <si>
    <t>A130:A131</t>
  </si>
  <si>
    <t xml:space="preserve">As 'Residential Status' contains 'Resident' , 'Amount of Insurance Relief (S)' should contain value in following row(s): </t>
  </si>
  <si>
    <t>A181:B182</t>
  </si>
  <si>
    <t>crit47</t>
  </si>
  <si>
    <t xml:space="preserve">As 'Residential Status' contains 'Resident' , 'Amount of Insurance Relief (T)' should contain value in following row(s): </t>
  </si>
  <si>
    <t>A186:B187</t>
  </si>
  <si>
    <t>crit48</t>
  </si>
  <si>
    <t>A190:B191</t>
  </si>
  <si>
    <t xml:space="preserve">'Residential Status' should contain value 'Resident' or 'Non-Resident' in following row(s): </t>
  </si>
  <si>
    <t xml:space="preserve">'Arrears Year' should contain value in range from 2000 to current financial year in following row(s): </t>
  </si>
  <si>
    <t xml:space="preserve">As 'Residential Status' contains 'Non-Resident' and 'Type' contains 'Primary Employee', 'Actual Contribution (K)' should be blank in following row(s): </t>
  </si>
  <si>
    <t xml:space="preserve">As 'Residential Status' contains 'Non-Resident' and 'Type' contains 'Primary Employee', 'Mortgage Interest (M)' should contain value in following row(s): </t>
  </si>
  <si>
    <t xml:space="preserve">As 'Residential Status' contains 'Non-Resident' and 'Type' contains 'Primary Employee', 'Monthly Personal Relief (Ksh) (R)' should be blank in following row(s): </t>
  </si>
  <si>
    <t xml:space="preserve">As 'Residential Status' contains 'Non-Resident' , 'Amount of Insurance Relief (S)' should be blank in following row(s): </t>
  </si>
  <si>
    <t xml:space="preserve">As 'Residential Status' contains 'Non-Resident' and 'Type' contains 'Primary Employee', 'Monthly Personal Relief (Ksh) (S)' should be blank in following row(s): </t>
  </si>
  <si>
    <t xml:space="preserve">As 'Residential Status' contains 'Non-Resident' , 'Amount of Insurance Relief (T)' should be blank in following row(s): </t>
  </si>
  <si>
    <t>A121:A122</t>
  </si>
  <si>
    <t>A141:E142</t>
  </si>
  <si>
    <t>A153:C154</t>
  </si>
  <si>
    <t>A157:C158</t>
  </si>
  <si>
    <t>2013</t>
  </si>
  <si>
    <t>2014</t>
  </si>
  <si>
    <t>2015</t>
  </si>
  <si>
    <t>Car</t>
  </si>
  <si>
    <t xml:space="preserve">Value of Car Benefit' should contain value in following row(s): </t>
  </si>
  <si>
    <t>A177:A178</t>
  </si>
  <si>
    <t>A185:A186</t>
  </si>
  <si>
    <t>A186:A187</t>
  </si>
  <si>
    <t>crit49</t>
  </si>
  <si>
    <t>A194:A195</t>
  </si>
  <si>
    <t>isMandatory(DtlsSalPdBftsPayeDedFrmEmp.List,"Y","N")</t>
  </si>
  <si>
    <t>N)</t>
  </si>
  <si>
    <t>Value of Car Benefit is Mandatory field.</t>
  </si>
  <si>
    <t>isMandatory(DtlsSalPdBftsPayeDedFrmDsblEmp.List,"Y","O")</t>
  </si>
  <si>
    <t>isMandatory(DtlsArrSalPdBftsPayeDedFrmEmp.List,"Y","P")</t>
  </si>
  <si>
    <t>isMandatory(DtlsArrSalPdBftsPayeDedFrmDsblEmp.List,"Y","Q")</t>
  </si>
  <si>
    <t>Please enter Employee's PIN in proper format.</t>
  </si>
  <si>
    <t>A181:A182</t>
  </si>
  <si>
    <t>A189:A190</t>
  </si>
  <si>
    <t>A23:A24</t>
  </si>
  <si>
    <t>'Name of Employee' should be of length less than or equal to 50 Characters in following row(s):</t>
  </si>
  <si>
    <t>A190:A191</t>
  </si>
  <si>
    <t>crit50</t>
  </si>
  <si>
    <t>A198:A199</t>
  </si>
  <si>
    <t xml:space="preserve">'Make' should be of length less than or equal to 50 charecters in following row(s): </t>
  </si>
  <si>
    <t xml:space="preserve">'Exemption Certificate Number' should be of length less than or equal to 20 characters in following row(s): </t>
  </si>
  <si>
    <t>A193:A194</t>
  </si>
  <si>
    <t>crit51</t>
  </si>
  <si>
    <t>A202:A203</t>
  </si>
  <si>
    <t xml:space="preserve">'Car Registration Number' should be of length less than or equal to 20 characters in following row(s): </t>
  </si>
  <si>
    <t>LoanAccNum</t>
  </si>
  <si>
    <t xml:space="preserve">'Loan Account Number' should be of length less than or equal to 20 characters in following row(s): </t>
  </si>
  <si>
    <t>A27:A28</t>
  </si>
  <si>
    <t>self</t>
  </si>
  <si>
    <t xml:space="preserve">'Self Assessed PAYE Tax (Ksh)' should be a positive number in following row(s): </t>
  </si>
  <si>
    <t xml:space="preserve">As 'Type of Car Cost' contains 'Owned', 'Cost of Owned Car (Ksh)' should contain value in following row(s): </t>
  </si>
  <si>
    <t xml:space="preserve">As 'Type of Car Cost' contains 'Hired', 'Cost of Hiring / Leasing (Ksh)' should contain value in following row(s): </t>
  </si>
  <si>
    <t xml:space="preserve">PAYE Paid in Lump Sum Payment Due Year (Ksh) / Lump Sum Payment Due Month (Ksh) (E)'  should contain  value in following row(s): </t>
  </si>
  <si>
    <t>A197:A198</t>
  </si>
  <si>
    <t xml:space="preserve">Self Assessed PAYE Tax (Ksh)' should contain value in following row(s): </t>
  </si>
  <si>
    <t xml:space="preserve">Self Assessed PAYE Tax (Ksh)' should contain positive number in following row(s): </t>
  </si>
  <si>
    <t>crit52</t>
  </si>
  <si>
    <t>A206:A207</t>
  </si>
  <si>
    <t>47</t>
  </si>
  <si>
    <t>7</t>
  </si>
  <si>
    <t>Unwanted Data Entered?</t>
  </si>
  <si>
    <t>checkUnwantedDataInSecI()</t>
  </si>
  <si>
    <t>"Emoluments of Gratuity Year" and "Tax Paid in Gratuity Year" should be blank when PIN is blank.</t>
  </si>
  <si>
    <t>Genrate Uploadeble Xml ?</t>
  </si>
  <si>
    <t>validateCurrencyFormat(DtlsSalPdBftsPayeDedFrmEmp.List,"AF")</t>
  </si>
  <si>
    <t>visibleSheetsArr (List of Sheets which should be visible when macros are enabled)</t>
  </si>
  <si>
    <t>It has been detected that Macros are not enabled/Sheet is opened in Protected View in your System. Please follow below instructions to proceed.</t>
  </si>
  <si>
    <t>Help on Enable Macro:</t>
  </si>
  <si>
    <t>Tax Deducted plus Reliefs (Ksh)  (E)</t>
  </si>
  <si>
    <t>Taxable Amounts (Ksh) (B)</t>
  </si>
  <si>
    <t>Taxable Amounts</t>
  </si>
  <si>
    <t>Tax Deducted plus Reliefs</t>
  </si>
  <si>
    <t>Gratuity Related/ Retirement Year</t>
  </si>
  <si>
    <t>2016</t>
  </si>
  <si>
    <t>validateAlphaNumeric(DtlsSalPdBftsPayeDedFrmDsblEmp.List,"E")</t>
  </si>
  <si>
    <t>validateDate(TaxPdOnLumpSumPdAftrTrmtn.List,"C")</t>
  </si>
  <si>
    <t>validateDate(TaxPdOnLumpSumPdAftrTrmtn.List,"D")</t>
  </si>
  <si>
    <t>Please enter Employment Start Date in proper format (dd/mm/yyyy)</t>
  </si>
  <si>
    <t>Please enter Employment End Date in proper format (dd/mm/yyyy)</t>
  </si>
  <si>
    <t>2017</t>
  </si>
  <si>
    <t>134164</t>
  </si>
  <si>
    <t>260567</t>
  </si>
  <si>
    <t>386970</t>
  </si>
  <si>
    <t>513373</t>
  </si>
  <si>
    <t>134165</t>
  </si>
  <si>
    <t>260568</t>
  </si>
  <si>
    <t>386971</t>
  </si>
  <si>
    <t>513374</t>
  </si>
  <si>
    <t>ValidationRule4</t>
  </si>
  <si>
    <t>checkYearFromSecA(RtnInf.RtnYear,TaxPdOnLumpSumPdAftrTrmtn.List,"E")</t>
  </si>
  <si>
    <t>checkYearFromSecA(RtnInf.RtnYear,TaxPdOnLumpSumPdAftrTrmtn.List,"F")</t>
  </si>
  <si>
    <t>Lump Sum Payment Due Year should be on or before Return Period From</t>
  </si>
  <si>
    <t>Lump Sum Payment Paid Year should be equals to Return Period From</t>
  </si>
  <si>
    <t xml:space="preserve">Monthly Personal Relief (Ksh) ( R ) </t>
  </si>
  <si>
    <t xml:space="preserve">Mortgage Interest amount exceeds the max. Amount </t>
  </si>
  <si>
    <t>Deposit on Home Ownership Saving Plan exceeds max. Amount</t>
  </si>
  <si>
    <t>Monthly Personal Relief respective month exceeds max. Amount.</t>
  </si>
  <si>
    <t>Mortgage Interest (M)</t>
  </si>
  <si>
    <t>validateAlphaNumeric(DtlsArrSalPdBftsPayeDedFrmDsblEmp.List,"G")</t>
  </si>
  <si>
    <t>Please enter only alphanumerics. Only special character like ( space  :  - ,  / . \n ' &amp; ( ) ` $ % { } ! | # :) are  allowed.</t>
  </si>
  <si>
    <t>Please enter alphanumeric value.Only Special characters like (space : - , / . \n ' &amp; (  )  ` $ % { } !  | # : ) are allowed.</t>
  </si>
  <si>
    <t>2018</t>
  </si>
  <si>
    <t>147576</t>
  </si>
  <si>
    <t>147577</t>
  </si>
  <si>
    <t>286620</t>
  </si>
  <si>
    <t>286621</t>
  </si>
  <si>
    <t>425664</t>
  </si>
  <si>
    <t>425665</t>
  </si>
  <si>
    <t>564708</t>
  </si>
  <si>
    <t>564709</t>
  </si>
  <si>
    <t>Section M : Details of Housing Levy</t>
  </si>
  <si>
    <t>Member Number (ID Number)</t>
  </si>
  <si>
    <t>Member Name</t>
  </si>
  <si>
    <t>KRA PIN</t>
  </si>
  <si>
    <t>Gross Salary</t>
  </si>
  <si>
    <t>Member Contribution – Housing Levy (A)</t>
  </si>
  <si>
    <t>Employer Contribution (B)</t>
  </si>
  <si>
    <t>Total Contribution (A+B) (Ksh)</t>
  </si>
  <si>
    <t>Sum of Total Contribution</t>
  </si>
  <si>
    <t>For Section M</t>
  </si>
  <si>
    <t>MemberNumber</t>
  </si>
  <si>
    <t>MemberName</t>
  </si>
  <si>
    <t xml:space="preserve">'Member Name' should contain value of length upto 50 in following row(s): </t>
  </si>
  <si>
    <t>KRAPIN</t>
  </si>
  <si>
    <t xml:space="preserve">'KRA PIN' should contain 11 digit value in following row(s): </t>
  </si>
  <si>
    <t>GrossSalary</t>
  </si>
  <si>
    <t>'Gross Salary (Ksh)' should contain value in following row(s):</t>
  </si>
  <si>
    <t>BasicSalary</t>
  </si>
  <si>
    <t>N_Tax_Due</t>
  </si>
  <si>
    <t>Section N : Calculation of Tax Due</t>
  </si>
  <si>
    <t>M_Housing_Levy_Dtls</t>
  </si>
  <si>
    <t>isMandatory(HousingLevyDtls,"Y","B")</t>
  </si>
  <si>
    <t>isMandatory(HousingLevyDtls,"Y","C")</t>
  </si>
  <si>
    <t>isMandatory(HousingLevyDtls,"Y","D")</t>
  </si>
  <si>
    <t>isMandatory(HousingLevyDtls,"Y","E")</t>
  </si>
  <si>
    <t>isMandatory(HousingLevyDtls,"Y","F")</t>
  </si>
  <si>
    <t>isMandatory(HousingLevyDtls,"Y","G")</t>
  </si>
  <si>
    <t>ErrorMessage</t>
  </si>
  <si>
    <t>Member Number (ID Number) is mandatory field</t>
  </si>
  <si>
    <t>Member Name is mandatory field</t>
  </si>
  <si>
    <t>KRA PIN is mandatory field</t>
  </si>
  <si>
    <t>Gross salary is mandatory field</t>
  </si>
  <si>
    <t>Basic salary is mandatory field</t>
  </si>
  <si>
    <t>Member Contribution – Housing Levy (A) is mandatory field</t>
  </si>
  <si>
    <t>Employer Contribution (B) is mandatory field</t>
  </si>
  <si>
    <t>validateLength(HousingLevyDtls,50,"B")</t>
  </si>
  <si>
    <t>validateTaxPyrPIN(HousingLevyDtls,"C")</t>
  </si>
  <si>
    <t>validateCurrencyFormat(HousingLevyDtls,"D")</t>
  </si>
  <si>
    <t>validateCurrencyFormat(HousingLevyDtls,"E")</t>
  </si>
  <si>
    <t>validateCurrencyFormat(HousingLevyDtls,"F")</t>
  </si>
  <si>
    <t>validateCurrencyFormat(HousingLevyDtls,"G")</t>
  </si>
  <si>
    <t>Please enter data of length upto 50 only</t>
  </si>
  <si>
    <t>Please enter Individual KRA PIN in proper format.</t>
  </si>
  <si>
    <t>Please enter numeric value only</t>
  </si>
  <si>
    <t>Member Contribution should be numeric only</t>
  </si>
  <si>
    <t>Employer Contribution should be numeric only</t>
  </si>
  <si>
    <t>validateAlphaNumeric(HousingLevyDtls,"B")</t>
  </si>
  <si>
    <t>Total Housing Levy Contributing Members (Total records of M_Housing_Levy_Dtls)</t>
  </si>
  <si>
    <t>Total Housing Levy Contribution (Total of "Total Contribution" from M_Housing_Levy_Dtls)</t>
  </si>
  <si>
    <t>Please enter numeric value.</t>
  </si>
  <si>
    <t>Please enter data of length upto 15 only</t>
  </si>
  <si>
    <t>validateLength(HousingLevyDtls,15,"A")</t>
  </si>
  <si>
    <t>2019</t>
  </si>
  <si>
    <t>Paye Tax deducted from the Employee(s) Without PIN</t>
  </si>
  <si>
    <t>Total PAYE Tax Payable (9+10+11)</t>
  </si>
  <si>
    <t>Net PAYE Tax Payable (12-13)</t>
  </si>
  <si>
    <t>Mortgage Interest (Max 25000 Ksh a month) (M)</t>
  </si>
  <si>
    <t>EXCEL 2010-2013</t>
  </si>
  <si>
    <t>XLSM</t>
  </si>
  <si>
    <t>Section M1 : Details of NITA Levy</t>
  </si>
  <si>
    <t>Standard NITA Deduction</t>
  </si>
  <si>
    <t>M1_NITA_Levy_Dtls</t>
  </si>
  <si>
    <t>NITA Employee Number</t>
  </si>
  <si>
    <t>NITA Employee Name</t>
  </si>
  <si>
    <t>isMandatory(NITALevyDtls,"Y","A")</t>
  </si>
  <si>
    <t>isMandatory(NITALevyDtls,"Y","B")</t>
  </si>
  <si>
    <t>isMandatory(NITALevyDtls,"Y","C")</t>
  </si>
  <si>
    <t>isMandatory(NITALevyDtls,"Y","D")</t>
  </si>
  <si>
    <t>validateCurrencyFormat(NITALevyDtls,"D")</t>
  </si>
  <si>
    <t>validateLength(NITALevyDtls,50,"B")</t>
  </si>
  <si>
    <t>validateAlphaNumeric(NITALevyDtls,"B")</t>
  </si>
  <si>
    <t>validateLength(NITALevyDtls,50,"A")</t>
  </si>
  <si>
    <t>NITA Employee Number is mandatory field</t>
  </si>
  <si>
    <t>NITA Employee is mandatory field</t>
  </si>
  <si>
    <t>Standard NITA Deduction is mandatory field</t>
  </si>
  <si>
    <t>For Section M1</t>
  </si>
  <si>
    <t xml:space="preserve">'NITA Employee Name' should contain value of length upto 50 in following row(s): </t>
  </si>
  <si>
    <t>'Standard NITA Deduction (Ksh)' should contain value in following row(s):</t>
  </si>
  <si>
    <t>Total NITA Levy Contributing Members (Total records of M1_NITA_Levy_Dtls)</t>
  </si>
  <si>
    <t>Total NITA Levy Contribution (Total of "Standard NITA Deduction" from M1_NITA_Levy_Dtls)</t>
  </si>
  <si>
    <t>Total Payable (14+16+18)</t>
  </si>
  <si>
    <t>validateNITAPIN(NITALevyDtls,"C")</t>
  </si>
  <si>
    <t>2020</t>
  </si>
  <si>
    <t>2021</t>
  </si>
  <si>
    <t>288000</t>
  </si>
  <si>
    <t>288001</t>
  </si>
  <si>
    <t>388000</t>
  </si>
  <si>
    <t>388001</t>
  </si>
  <si>
    <t>National ID Number</t>
  </si>
  <si>
    <t>Employee Name</t>
  </si>
  <si>
    <t>A134:D135</t>
  </si>
  <si>
    <t>crit53</t>
  </si>
  <si>
    <t>A142:D143</t>
  </si>
  <si>
    <t>Deposit on Home Ownership Saving Plan (Max 96,000 Ksh or 8,000 Ksh a month) (N)</t>
  </si>
  <si>
    <t>A198:B199</t>
  </si>
  <si>
    <t>A210:B211</t>
  </si>
  <si>
    <t>2022</t>
  </si>
  <si>
    <t>2023</t>
  </si>
  <si>
    <t>Amount of Tax Payable on Gratuity</t>
  </si>
  <si>
    <t>isMandatory(CalPayeTaxPyblOnGratII.List,"Y","H")</t>
  </si>
  <si>
    <t>Amount of Tax Payable on Gratuity is Mandatory field where Gratuity Year is 2020</t>
  </si>
  <si>
    <t xml:space="preserve">'NITA Employee Number' should contain value of length 20 in following row(s): </t>
  </si>
  <si>
    <t>validateAlphaNumericOnly(NITALevyDtls,"A")</t>
  </si>
  <si>
    <t>2024</t>
  </si>
  <si>
    <t>Section M : Details of Affordable Housing Levy</t>
  </si>
  <si>
    <t>Read Me:Errors:Macros_Disabled:A_Basic_Info:B_Employees_Dtls:C_Disabled_Employees_Dtls:D_Computation_of_Car_Benefit:E_Computation_of_Insu_Relief:F_Lump_Sum_Payments_Dtls:G_Arrears_Dtls_E:H_Arrears_Dtls_DE:I_Gratuity_Dtls:J_FBT_Dtls:K_PAYE_Payment_Credits:M_Affordable Housing Levy_Dtls:N_Tax_Due</t>
  </si>
  <si>
    <t>'Basic Salary (Ksh)' should be blank in the following row(s):</t>
  </si>
  <si>
    <t>validateAlphaNumericOnly(HousingLevyDtls,"A")</t>
  </si>
  <si>
    <t>isMandatory(HousingLevyDtls,"N","A")</t>
  </si>
  <si>
    <t>366ec3134f914876dd0846bcba361abb7da353adc480400fa5f74e1135745053</t>
  </si>
  <si>
    <t>Amount of Fringe Benefit Tax  (Ksh) (G) = (F) * 30%</t>
  </si>
  <si>
    <t>Version 26.0.8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</si>
</sst>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0"/>
  </numFmts>
  <fonts count="30" x14ac:knownFonts="1">
    <font>
      <sz val="11"/>
      <color indexed="8"/>
      <name val="Calibri"/>
      <family val="2"/>
    </font>
    <font>
      <sz val="10"/>
      <name val="Arial"/>
      <family val="2"/>
    </font>
    <font>
      <b/>
      <sz val="12"/>
      <color indexed="9"/>
      <name val="Book Antiqua"/>
      <family val="1"/>
    </font>
    <font>
      <sz val="12"/>
      <name val="Book Antiqua"/>
      <family val="1"/>
    </font>
    <font>
      <b/>
      <u/>
      <sz val="12"/>
      <name val="Book Antiqua"/>
      <family val="1"/>
    </font>
    <font>
      <b/>
      <sz val="12"/>
      <name val="Book Antiqua"/>
      <family val="1"/>
    </font>
    <font>
      <b/>
      <sz val="12"/>
      <color indexed="63"/>
      <name val="Book Antiqua"/>
      <family val="1"/>
    </font>
    <font>
      <b/>
      <sz val="9.1"/>
      <color indexed="63"/>
      <name val="Arial"/>
      <family val="2"/>
    </font>
    <font>
      <sz val="12"/>
      <color indexed="63"/>
      <name val="Book Antiqua"/>
      <family val="1"/>
    </font>
    <font>
      <sz val="12"/>
      <color indexed="8"/>
      <name val="Book Antiqua"/>
      <family val="1"/>
    </font>
    <font>
      <sz val="11"/>
      <color indexed="8"/>
      <name val="Book Antiqua"/>
      <family val="1"/>
    </font>
    <font>
      <b/>
      <i/>
      <sz val="12"/>
      <name val="Book Antiqua"/>
      <family val="1"/>
    </font>
    <font>
      <sz val="12"/>
      <color indexed="8"/>
      <name val="Calibri"/>
      <family val="2"/>
    </font>
    <font>
      <u/>
      <sz val="11"/>
      <color indexed="12"/>
      <name val="Calibri"/>
      <family val="2"/>
    </font>
    <font>
      <sz val="11"/>
      <name val="Book Antiqua"/>
      <family val="1"/>
    </font>
    <font>
      <b/>
      <sz val="11"/>
      <color indexed="8"/>
      <name val="Calibri"/>
      <family val="2"/>
    </font>
    <font>
      <b/>
      <sz val="14"/>
      <color indexed="9"/>
      <name val="Book Antiqua"/>
      <family val="1"/>
    </font>
    <font>
      <sz val="12"/>
      <color indexed="10"/>
      <name val="Book Antiqua"/>
      <family val="1"/>
    </font>
    <font>
      <sz val="11"/>
      <color indexed="22"/>
      <name val="Calibri"/>
      <family val="2"/>
    </font>
    <font>
      <sz val="11"/>
      <color indexed="10"/>
      <name val="Calibri"/>
      <family val="2"/>
    </font>
    <font>
      <b/>
      <sz val="12"/>
      <color indexed="8"/>
      <name val="Book Antiqua"/>
      <family val="1"/>
    </font>
    <font>
      <sz val="11"/>
      <name val="Calibri"/>
      <family val="2"/>
    </font>
    <font>
      <sz val="12"/>
      <color indexed="9"/>
      <name val="Book Antiqua"/>
      <family val="1"/>
    </font>
    <font>
      <sz val="11"/>
      <color indexed="22"/>
      <name val="Book Antiqua"/>
      <family val="1"/>
    </font>
    <font>
      <sz val="12"/>
      <color indexed="22"/>
      <name val="Book Antiqua"/>
      <family val="1"/>
    </font>
    <font>
      <sz val="11"/>
      <color indexed="8"/>
      <name val="Calibri"/>
      <family val="2"/>
    </font>
    <font>
      <sz val="11"/>
      <color theme="0" tint="-0.249977111117893"/>
      <name val="Calibri"/>
      <family val="2"/>
    </font>
    <font>
      <sz val="11"/>
      <color theme="0" tint="-0.34998626667073579"/>
      <name val="Calibri"/>
      <family val="2"/>
    </font>
    <font>
      <sz val="11"/>
      <color rgb="FFFF0000"/>
      <name val="Calibri"/>
      <family val="2"/>
    </font>
    <font>
      <b/>
      <sz val="16"/>
      <color rgb="FFFF0000"/>
      <name val="Calibri"/>
      <family val="2"/>
    </font>
  </fonts>
  <fills count="13">
    <fill>
      <patternFill patternType="none"/>
    </fill>
    <fill>
      <patternFill patternType="gray125"/>
    </fill>
    <fill>
      <patternFill patternType="solid">
        <fgColor indexed="9"/>
        <bgColor indexed="26"/>
      </patternFill>
    </fill>
    <fill>
      <patternFill patternType="solid">
        <fgColor indexed="55"/>
        <bgColor indexed="23"/>
      </patternFill>
    </fill>
    <fill>
      <patternFill patternType="solid">
        <fgColor indexed="63"/>
        <bgColor indexed="59"/>
      </patternFill>
    </fill>
    <fill>
      <patternFill patternType="solid">
        <fgColor indexed="22"/>
        <bgColor indexed="31"/>
      </patternFill>
    </fill>
    <fill>
      <patternFill patternType="solid">
        <fgColor indexed="10"/>
        <bgColor indexed="60"/>
      </patternFill>
    </fill>
    <fill>
      <patternFill patternType="solid">
        <fgColor indexed="13"/>
        <bgColor indexed="34"/>
      </patternFill>
    </fill>
    <fill>
      <patternFill patternType="solid">
        <fgColor rgb="FF929292"/>
        <bgColor indexed="64"/>
      </patternFill>
    </fill>
    <fill>
      <patternFill patternType="solid">
        <fgColor rgb="FFFFFFFF"/>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indexed="23"/>
      </patternFill>
    </fill>
  </fills>
  <borders count="37">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9"/>
      </left>
      <right/>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top/>
      <bottom style="thin">
        <color indexed="8"/>
      </bottom>
      <diagonal/>
    </border>
    <border>
      <left style="thin">
        <color indexed="8"/>
      </left>
      <right style="thin">
        <color indexed="8"/>
      </right>
      <top style="thin">
        <color indexed="9"/>
      </top>
      <bottom style="thin">
        <color indexed="8"/>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8"/>
      </left>
      <right style="thin">
        <color indexed="8"/>
      </right>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bottom style="thin">
        <color indexed="8"/>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style="thin">
        <color indexed="9"/>
      </right>
      <top style="thin">
        <color indexed="8"/>
      </top>
      <bottom/>
      <diagonal/>
    </border>
    <border>
      <left style="thin">
        <color indexed="9"/>
      </left>
      <right style="thin">
        <color indexed="9"/>
      </right>
      <top/>
      <bottom style="thin">
        <color indexed="9"/>
      </bottom>
      <diagonal/>
    </border>
    <border>
      <left style="thin">
        <color indexed="9"/>
      </left>
      <right style="thin">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8"/>
      </bottom>
      <diagonal/>
    </border>
  </borders>
  <cellStyleXfs count="9">
    <xf numFmtId="0" fontId="0" fillId="0" borderId="0"/>
    <xf numFmtId="0" fontId="25" fillId="0" borderId="1"/>
    <xf numFmtId="0" fontId="13" fillId="0" borderId="0" applyNumberFormat="0" applyFill="0" applyBorder="0" applyAlignment="0" applyProtection="0"/>
    <xf numFmtId="0" fontId="25" fillId="0" borderId="0"/>
    <xf numFmtId="0" fontId="1" fillId="0" borderId="0"/>
    <xf numFmtId="0" fontId="1" fillId="0" borderId="0"/>
    <xf numFmtId="0" fontId="25" fillId="0" borderId="0"/>
    <xf numFmtId="0" fontId="25" fillId="0" borderId="0"/>
    <xf numFmtId="0" fontId="25" fillId="0" borderId="0"/>
  </cellStyleXfs>
  <cellXfs count="252">
    <xf numFmtId="0" fontId="0" fillId="0" borderId="0" xfId="0"/>
    <xf numFmtId="0" fontId="3" fillId="2" borderId="2" xfId="5" applyFont="1" applyFill="1" applyBorder="1"/>
    <xf numFmtId="0" fontId="3" fillId="2" borderId="0" xfId="5" applyFont="1" applyFill="1"/>
    <xf numFmtId="0" fontId="3" fillId="2" borderId="3" xfId="5" applyFont="1" applyFill="1" applyBorder="1"/>
    <xf numFmtId="0" fontId="4" fillId="2" borderId="2" xfId="5" applyFont="1" applyFill="1" applyBorder="1"/>
    <xf numFmtId="0" fontId="3" fillId="2" borderId="1" xfId="5" applyFont="1" applyFill="1" applyBorder="1"/>
    <xf numFmtId="0" fontId="3" fillId="2" borderId="1" xfId="5" applyFont="1" applyFill="1" applyBorder="1" applyAlignment="1">
      <alignment wrapText="1"/>
    </xf>
    <xf numFmtId="49" fontId="9" fillId="2" borderId="1" xfId="8" applyNumberFormat="1" applyFont="1" applyFill="1" applyBorder="1" applyAlignment="1">
      <alignment horizontal="left" vertical="top" wrapText="1"/>
    </xf>
    <xf numFmtId="0" fontId="3" fillId="2" borderId="1" xfId="4" applyFont="1" applyFill="1" applyBorder="1"/>
    <xf numFmtId="0" fontId="10" fillId="3" borderId="1" xfId="3" applyFont="1" applyFill="1" applyBorder="1" applyAlignment="1">
      <alignment horizontal="left" vertical="top"/>
    </xf>
    <xf numFmtId="0" fontId="2" fillId="2" borderId="4" xfId="6" applyFont="1" applyFill="1" applyBorder="1" applyAlignment="1">
      <alignment horizontal="center" vertical="top" wrapText="1"/>
    </xf>
    <xf numFmtId="0" fontId="3" fillId="2" borderId="0" xfId="4" applyFont="1" applyFill="1" applyAlignment="1">
      <alignment wrapText="1"/>
    </xf>
    <xf numFmtId="0" fontId="3" fillId="2" borderId="5" xfId="5" applyFont="1" applyFill="1" applyBorder="1"/>
    <xf numFmtId="0" fontId="3" fillId="2" borderId="6" xfId="5" applyFont="1" applyFill="1" applyBorder="1"/>
    <xf numFmtId="0" fontId="3" fillId="2" borderId="7" xfId="5" applyFont="1" applyFill="1" applyBorder="1"/>
    <xf numFmtId="0" fontId="2" fillId="4" borderId="0" xfId="0" applyFont="1" applyFill="1" applyAlignment="1">
      <alignment horizontal="center" vertical="center"/>
    </xf>
    <xf numFmtId="0" fontId="12" fillId="2" borderId="1" xfId="0" applyFont="1" applyFill="1" applyBorder="1" applyAlignment="1">
      <alignment horizontal="center" wrapText="1"/>
    </xf>
    <xf numFmtId="0" fontId="12" fillId="2" borderId="1" xfId="0" applyFont="1" applyFill="1" applyBorder="1" applyAlignment="1">
      <alignment wrapText="1"/>
    </xf>
    <xf numFmtId="0" fontId="13" fillId="0" borderId="1" xfId="2" applyNumberFormat="1" applyFill="1" applyBorder="1" applyAlignment="1" applyProtection="1"/>
    <xf numFmtId="0" fontId="13" fillId="0" borderId="1" xfId="1" applyFont="1"/>
    <xf numFmtId="0" fontId="13" fillId="2" borderId="1" xfId="2" applyNumberFormat="1" applyFill="1" applyBorder="1" applyAlignment="1" applyProtection="1">
      <alignment wrapText="1"/>
    </xf>
    <xf numFmtId="49" fontId="0" fillId="0" borderId="0" xfId="0" applyNumberFormat="1"/>
    <xf numFmtId="49" fontId="0" fillId="0" borderId="0" xfId="0" applyNumberFormat="1" applyAlignment="1">
      <alignment wrapText="1"/>
    </xf>
    <xf numFmtId="49" fontId="14" fillId="0" borderId="0" xfId="0" applyNumberFormat="1" applyFont="1"/>
    <xf numFmtId="49" fontId="14" fillId="0" borderId="0" xfId="0" applyNumberFormat="1" applyFont="1" applyAlignment="1">
      <alignment wrapText="1"/>
    </xf>
    <xf numFmtId="2" fontId="0" fillId="0" borderId="0" xfId="0" applyNumberFormat="1"/>
    <xf numFmtId="0" fontId="15" fillId="0" borderId="0" xfId="0" applyFont="1"/>
    <xf numFmtId="0" fontId="0" fillId="0" borderId="0" xfId="0" applyAlignment="1">
      <alignment wrapText="1"/>
    </xf>
    <xf numFmtId="0" fontId="10" fillId="0" borderId="0" xfId="0" applyFont="1"/>
    <xf numFmtId="0" fontId="10" fillId="0" borderId="0" xfId="0" applyFont="1" applyAlignment="1">
      <alignment wrapText="1"/>
    </xf>
    <xf numFmtId="0" fontId="15" fillId="0" borderId="0" xfId="0" applyFont="1" applyAlignment="1">
      <alignment wrapText="1"/>
    </xf>
    <xf numFmtId="0" fontId="2" fillId="4" borderId="1" xfId="0" applyFont="1" applyFill="1" applyBorder="1" applyAlignment="1">
      <alignment vertical="center" wrapText="1"/>
    </xf>
    <xf numFmtId="0" fontId="3" fillId="2" borderId="1" xfId="0" applyFont="1" applyFill="1" applyBorder="1" applyAlignment="1">
      <alignment horizontal="left" wrapText="1"/>
    </xf>
    <xf numFmtId="0" fontId="9" fillId="0" borderId="1" xfId="0" applyFont="1" applyBorder="1" applyProtection="1">
      <protection locked="0"/>
    </xf>
    <xf numFmtId="49" fontId="18" fillId="5" borderId="0" xfId="0" applyNumberFormat="1" applyFont="1" applyFill="1"/>
    <xf numFmtId="49" fontId="9" fillId="0" borderId="1" xfId="0" applyNumberFormat="1" applyFont="1" applyBorder="1" applyAlignment="1" applyProtection="1">
      <alignment horizontal="right"/>
      <protection locked="0"/>
    </xf>
    <xf numFmtId="0" fontId="18" fillId="5" borderId="0" xfId="0" applyFont="1" applyFill="1"/>
    <xf numFmtId="0" fontId="16" fillId="6" borderId="0" xfId="0" applyFont="1" applyFill="1" applyAlignment="1">
      <alignment horizontal="center" vertical="center" wrapText="1"/>
    </xf>
    <xf numFmtId="0" fontId="18" fillId="5" borderId="8" xfId="0" applyFont="1" applyFill="1" applyBorder="1"/>
    <xf numFmtId="0" fontId="20" fillId="2" borderId="9" xfId="0" applyFont="1" applyFill="1" applyBorder="1" applyAlignment="1">
      <alignment horizontal="center" vertical="top" wrapText="1"/>
    </xf>
    <xf numFmtId="49" fontId="3" fillId="2" borderId="1" xfId="0" applyNumberFormat="1" applyFont="1" applyFill="1" applyBorder="1" applyAlignment="1" applyProtection="1">
      <alignment wrapText="1"/>
      <protection locked="0"/>
    </xf>
    <xf numFmtId="49" fontId="9" fillId="2" borderId="1" xfId="8" applyNumberFormat="1" applyFont="1" applyFill="1" applyBorder="1" applyAlignment="1" applyProtection="1">
      <alignment wrapText="1"/>
      <protection locked="0"/>
    </xf>
    <xf numFmtId="4" fontId="9" fillId="2" borderId="1" xfId="0" applyNumberFormat="1" applyFont="1" applyFill="1" applyBorder="1" applyAlignment="1" applyProtection="1">
      <alignment horizontal="right" wrapText="1"/>
      <protection locked="0"/>
    </xf>
    <xf numFmtId="4" fontId="5" fillId="3" borderId="1" xfId="0" applyNumberFormat="1" applyFont="1" applyFill="1" applyBorder="1" applyAlignment="1">
      <alignment horizontal="right" wrapText="1"/>
    </xf>
    <xf numFmtId="4" fontId="9" fillId="3" borderId="1" xfId="0" applyNumberFormat="1" applyFont="1" applyFill="1" applyBorder="1" applyAlignment="1">
      <alignment horizontal="right" wrapText="1"/>
    </xf>
    <xf numFmtId="0" fontId="0" fillId="3" borderId="0" xfId="0" applyFill="1"/>
    <xf numFmtId="4" fontId="5" fillId="3" borderId="5" xfId="0" applyNumberFormat="1" applyFont="1" applyFill="1" applyBorder="1" applyAlignment="1">
      <alignment horizontal="right" wrapText="1"/>
    </xf>
    <xf numFmtId="4" fontId="5" fillId="3" borderId="10" xfId="0" applyNumberFormat="1" applyFont="1" applyFill="1" applyBorder="1" applyAlignment="1">
      <alignment horizontal="right" wrapText="1"/>
    </xf>
    <xf numFmtId="0" fontId="21" fillId="5" borderId="0" xfId="0" applyFont="1" applyFill="1"/>
    <xf numFmtId="0" fontId="20" fillId="2" borderId="11" xfId="0" applyFont="1" applyFill="1" applyBorder="1" applyAlignment="1">
      <alignment horizontal="center" vertical="top" wrapText="1"/>
    </xf>
    <xf numFmtId="0" fontId="20" fillId="2" borderId="2" xfId="0" applyFont="1" applyFill="1" applyBorder="1" applyAlignment="1">
      <alignment horizontal="center" vertical="top" wrapText="1"/>
    </xf>
    <xf numFmtId="0" fontId="20" fillId="2" borderId="1" xfId="0" applyFont="1" applyFill="1" applyBorder="1" applyAlignment="1">
      <alignment horizontal="center" vertical="top" wrapText="1"/>
    </xf>
    <xf numFmtId="49" fontId="9" fillId="2" borderId="1" xfId="0" applyNumberFormat="1" applyFont="1" applyFill="1" applyBorder="1" applyProtection="1">
      <protection locked="0"/>
    </xf>
    <xf numFmtId="4" fontId="9" fillId="3" borderId="10" xfId="0" applyNumberFormat="1" applyFont="1" applyFill="1" applyBorder="1" applyAlignment="1">
      <alignment wrapText="1"/>
    </xf>
    <xf numFmtId="4" fontId="9" fillId="3" borderId="1" xfId="0" applyNumberFormat="1" applyFont="1" applyFill="1" applyBorder="1" applyAlignment="1">
      <alignment wrapText="1"/>
    </xf>
    <xf numFmtId="4" fontId="9" fillId="3" borderId="10" xfId="0" applyNumberFormat="1" applyFont="1" applyFill="1" applyBorder="1" applyAlignment="1">
      <alignment horizontal="right" wrapText="1"/>
    </xf>
    <xf numFmtId="4" fontId="9" fillId="3" borderId="5" xfId="0" applyNumberFormat="1" applyFont="1" applyFill="1" applyBorder="1" applyAlignment="1">
      <alignment horizontal="right" wrapText="1"/>
    </xf>
    <xf numFmtId="4" fontId="9" fillId="3" borderId="4" xfId="0" applyNumberFormat="1" applyFont="1" applyFill="1" applyBorder="1" applyAlignment="1">
      <alignment horizontal="right" wrapText="1"/>
    </xf>
    <xf numFmtId="49" fontId="3" fillId="2" borderId="5" xfId="0" applyNumberFormat="1" applyFont="1" applyFill="1" applyBorder="1" applyAlignment="1" applyProtection="1">
      <alignment wrapText="1"/>
      <protection locked="0"/>
    </xf>
    <xf numFmtId="49" fontId="3" fillId="2" borderId="6" xfId="0" applyNumberFormat="1" applyFont="1" applyFill="1" applyBorder="1" applyAlignment="1" applyProtection="1">
      <alignment wrapText="1"/>
      <protection locked="0"/>
    </xf>
    <xf numFmtId="49" fontId="9" fillId="2" borderId="6" xfId="8" applyNumberFormat="1" applyFont="1" applyFill="1" applyBorder="1" applyAlignment="1" applyProtection="1">
      <alignment wrapText="1"/>
      <protection locked="0"/>
    </xf>
    <xf numFmtId="49" fontId="9" fillId="2" borderId="6" xfId="0" applyNumberFormat="1" applyFont="1" applyFill="1" applyBorder="1" applyProtection="1">
      <protection locked="0"/>
    </xf>
    <xf numFmtId="4" fontId="9" fillId="2" borderId="6" xfId="0" applyNumberFormat="1" applyFont="1" applyFill="1" applyBorder="1" applyAlignment="1" applyProtection="1">
      <alignment horizontal="right" wrapText="1"/>
      <protection locked="0"/>
    </xf>
    <xf numFmtId="4" fontId="9" fillId="3" borderId="6" xfId="0" applyNumberFormat="1" applyFont="1" applyFill="1" applyBorder="1" applyAlignment="1">
      <alignment wrapText="1"/>
    </xf>
    <xf numFmtId="4" fontId="9" fillId="3" borderId="6" xfId="0" applyNumberFormat="1" applyFont="1" applyFill="1" applyBorder="1" applyAlignment="1">
      <alignment horizontal="right" wrapText="1"/>
    </xf>
    <xf numFmtId="4" fontId="9" fillId="3" borderId="0" xfId="0" applyNumberFormat="1" applyFont="1" applyFill="1" applyAlignment="1">
      <alignment horizontal="right" wrapText="1"/>
    </xf>
    <xf numFmtId="4" fontId="5" fillId="3" borderId="4" xfId="0" applyNumberFormat="1" applyFont="1" applyFill="1" applyBorder="1" applyAlignment="1">
      <alignment horizontal="right" wrapText="1"/>
    </xf>
    <xf numFmtId="0" fontId="19" fillId="5" borderId="0" xfId="0" applyFont="1" applyFill="1"/>
    <xf numFmtId="49" fontId="3" fillId="2" borderId="1" xfId="0" applyNumberFormat="1" applyFont="1" applyFill="1" applyBorder="1" applyAlignment="1" applyProtection="1">
      <alignment horizontal="left" wrapText="1"/>
      <protection locked="0"/>
    </xf>
    <xf numFmtId="49" fontId="9" fillId="2" borderId="1" xfId="8" applyNumberFormat="1" applyFont="1" applyFill="1" applyBorder="1" applyAlignment="1" applyProtection="1">
      <alignment horizontal="left" wrapText="1"/>
      <protection locked="0"/>
    </xf>
    <xf numFmtId="3" fontId="9" fillId="0" borderId="1" xfId="0" applyNumberFormat="1" applyFont="1" applyBorder="1" applyAlignment="1" applyProtection="1">
      <alignment wrapText="1"/>
      <protection locked="0"/>
    </xf>
    <xf numFmtId="4" fontId="9" fillId="2" borderId="1" xfId="0" applyNumberFormat="1" applyFont="1" applyFill="1" applyBorder="1" applyAlignment="1" applyProtection="1">
      <alignment wrapText="1"/>
      <protection locked="0"/>
    </xf>
    <xf numFmtId="49" fontId="3" fillId="2" borderId="10" xfId="0" applyNumberFormat="1" applyFont="1" applyFill="1" applyBorder="1" applyAlignment="1" applyProtection="1">
      <alignment horizontal="left" wrapText="1"/>
      <protection locked="0"/>
    </xf>
    <xf numFmtId="49" fontId="9" fillId="2" borderId="10" xfId="8" applyNumberFormat="1" applyFont="1" applyFill="1" applyBorder="1" applyAlignment="1" applyProtection="1">
      <alignment horizontal="left" wrapText="1"/>
      <protection locked="0"/>
    </xf>
    <xf numFmtId="3" fontId="9" fillId="0" borderId="10" xfId="0" applyNumberFormat="1" applyFont="1" applyBorder="1" applyAlignment="1" applyProtection="1">
      <alignment wrapText="1"/>
      <protection locked="0"/>
    </xf>
    <xf numFmtId="0" fontId="19" fillId="0" borderId="0" xfId="0" applyFont="1"/>
    <xf numFmtId="4" fontId="22" fillId="4" borderId="0" xfId="0" applyNumberFormat="1" applyFont="1" applyFill="1" applyAlignment="1">
      <alignment horizontal="right" wrapText="1"/>
    </xf>
    <xf numFmtId="0" fontId="23" fillId="5" borderId="0" xfId="0" applyFont="1" applyFill="1"/>
    <xf numFmtId="0" fontId="10" fillId="0" borderId="0" xfId="0" applyFont="1" applyProtection="1">
      <protection locked="0"/>
    </xf>
    <xf numFmtId="1" fontId="9" fillId="0" borderId="1" xfId="0" applyNumberFormat="1" applyFont="1" applyBorder="1" applyProtection="1">
      <protection locked="0"/>
    </xf>
    <xf numFmtId="4" fontId="3" fillId="3" borderId="1" xfId="0" applyNumberFormat="1" applyFont="1" applyFill="1" applyBorder="1" applyAlignment="1">
      <alignment wrapText="1"/>
    </xf>
    <xf numFmtId="0" fontId="24" fillId="5" borderId="0" xfId="0" applyFont="1" applyFill="1"/>
    <xf numFmtId="4" fontId="5" fillId="3" borderId="1" xfId="0" applyNumberFormat="1" applyFont="1" applyFill="1" applyBorder="1" applyAlignment="1">
      <alignment wrapText="1"/>
    </xf>
    <xf numFmtId="49" fontId="9" fillId="0" borderId="1" xfId="0" applyNumberFormat="1" applyFont="1" applyBorder="1" applyProtection="1">
      <protection locked="0"/>
    </xf>
    <xf numFmtId="4" fontId="20" fillId="3" borderId="1" xfId="0" applyNumberFormat="1" applyFont="1" applyFill="1" applyBorder="1" applyAlignment="1">
      <alignment wrapText="1"/>
    </xf>
    <xf numFmtId="0" fontId="20" fillId="2" borderId="12" xfId="0" applyFont="1" applyFill="1" applyBorder="1" applyAlignment="1">
      <alignment horizontal="center" vertical="top" wrapText="1"/>
    </xf>
    <xf numFmtId="0" fontId="20" fillId="2" borderId="13" xfId="0" applyFont="1" applyFill="1" applyBorder="1" applyAlignment="1">
      <alignment horizontal="center" vertical="top" wrapText="1"/>
    </xf>
    <xf numFmtId="4" fontId="9" fillId="3" borderId="5" xfId="0" applyNumberFormat="1" applyFont="1" applyFill="1" applyBorder="1" applyAlignment="1">
      <alignment wrapText="1"/>
    </xf>
    <xf numFmtId="4" fontId="9" fillId="3" borderId="4" xfId="0" applyNumberFormat="1" applyFont="1" applyFill="1" applyBorder="1" applyAlignment="1">
      <alignment wrapText="1"/>
    </xf>
    <xf numFmtId="4" fontId="20" fillId="3" borderId="4" xfId="0" applyNumberFormat="1" applyFont="1" applyFill="1" applyBorder="1" applyAlignment="1">
      <alignment wrapText="1"/>
    </xf>
    <xf numFmtId="1" fontId="9" fillId="2" borderId="1" xfId="0" applyNumberFormat="1" applyFont="1" applyFill="1" applyBorder="1" applyAlignment="1" applyProtection="1">
      <alignment horizontal="right" wrapText="1"/>
      <protection locked="0"/>
    </xf>
    <xf numFmtId="1" fontId="0" fillId="0" borderId="0" xfId="0" applyNumberFormat="1"/>
    <xf numFmtId="4" fontId="20" fillId="3" borderId="1" xfId="0" applyNumberFormat="1" applyFont="1" applyFill="1" applyBorder="1" applyAlignment="1">
      <alignment horizontal="right" wrapText="1"/>
    </xf>
    <xf numFmtId="1" fontId="9" fillId="3" borderId="1" xfId="0" applyNumberFormat="1" applyFont="1" applyFill="1" applyBorder="1" applyAlignment="1">
      <alignment wrapText="1"/>
    </xf>
    <xf numFmtId="49" fontId="9" fillId="2" borderId="1" xfId="0" applyNumberFormat="1" applyFont="1" applyFill="1" applyBorder="1" applyAlignment="1" applyProtection="1">
      <alignment horizontal="left" wrapText="1"/>
      <protection locked="0"/>
    </xf>
    <xf numFmtId="4" fontId="9" fillId="0" borderId="1" xfId="0" applyNumberFormat="1" applyFont="1" applyBorder="1" applyAlignment="1" applyProtection="1">
      <alignment horizontal="right"/>
      <protection locked="0"/>
    </xf>
    <xf numFmtId="49" fontId="9" fillId="2" borderId="10" xfId="0" applyNumberFormat="1" applyFont="1" applyFill="1" applyBorder="1" applyAlignment="1" applyProtection="1">
      <alignment horizontal="left" wrapText="1"/>
      <protection locked="0"/>
    </xf>
    <xf numFmtId="4" fontId="9" fillId="0" borderId="10" xfId="0" applyNumberFormat="1" applyFont="1" applyBorder="1" applyAlignment="1" applyProtection="1">
      <alignment horizontal="right"/>
      <protection locked="0"/>
    </xf>
    <xf numFmtId="49" fontId="9" fillId="0" borderId="1" xfId="0" applyNumberFormat="1" applyFont="1" applyBorder="1" applyAlignment="1" applyProtection="1">
      <alignment horizontal="left"/>
      <protection locked="0"/>
    </xf>
    <xf numFmtId="0" fontId="2" fillId="4" borderId="1" xfId="0" applyFont="1" applyFill="1" applyBorder="1" applyAlignment="1">
      <alignment horizontal="center" vertical="center"/>
    </xf>
    <xf numFmtId="0" fontId="2" fillId="4" borderId="1" xfId="7" applyFont="1" applyFill="1" applyBorder="1" applyAlignment="1">
      <alignment horizontal="center" vertical="center" wrapText="1"/>
    </xf>
    <xf numFmtId="2" fontId="2" fillId="4" borderId="1" xfId="7" applyNumberFormat="1" applyFont="1" applyFill="1" applyBorder="1" applyAlignment="1">
      <alignment horizontal="center" vertical="center" wrapText="1"/>
    </xf>
    <xf numFmtId="0" fontId="9" fillId="2" borderId="1" xfId="0" applyFont="1" applyFill="1" applyBorder="1" applyAlignment="1">
      <alignment horizontal="center" wrapText="1"/>
    </xf>
    <xf numFmtId="0" fontId="9" fillId="2" borderId="1" xfId="0" applyFont="1" applyFill="1" applyBorder="1" applyAlignment="1">
      <alignment wrapText="1"/>
    </xf>
    <xf numFmtId="3" fontId="9" fillId="3" borderId="1" xfId="7" applyNumberFormat="1" applyFont="1" applyFill="1" applyBorder="1" applyAlignment="1">
      <alignment horizontal="right" wrapText="1"/>
    </xf>
    <xf numFmtId="4" fontId="9" fillId="3" borderId="1" xfId="7" applyNumberFormat="1" applyFont="1" applyFill="1" applyBorder="1" applyAlignment="1">
      <alignment horizontal="right" wrapText="1"/>
    </xf>
    <xf numFmtId="0" fontId="20" fillId="2" borderId="1" xfId="0" applyFont="1" applyFill="1" applyBorder="1" applyAlignment="1">
      <alignment horizontal="center" wrapText="1"/>
    </xf>
    <xf numFmtId="0" fontId="20" fillId="2" borderId="1" xfId="0" applyFont="1" applyFill="1" applyBorder="1" applyAlignment="1">
      <alignment wrapText="1"/>
    </xf>
    <xf numFmtId="11" fontId="0" fillId="0" borderId="0" xfId="0" applyNumberFormat="1"/>
    <xf numFmtId="4" fontId="9" fillId="8" borderId="1" xfId="0" applyNumberFormat="1" applyFont="1" applyFill="1" applyBorder="1" applyAlignment="1">
      <alignment horizontal="right" wrapText="1"/>
    </xf>
    <xf numFmtId="0" fontId="26" fillId="5" borderId="0" xfId="0" applyFont="1" applyFill="1"/>
    <xf numFmtId="1" fontId="26" fillId="5" borderId="0" xfId="0" applyNumberFormat="1" applyFont="1" applyFill="1"/>
    <xf numFmtId="0" fontId="26" fillId="0" borderId="0" xfId="0" applyFont="1"/>
    <xf numFmtId="4" fontId="9" fillId="8" borderId="1" xfId="0" applyNumberFormat="1" applyFont="1" applyFill="1" applyBorder="1" applyAlignment="1">
      <alignment wrapText="1"/>
    </xf>
    <xf numFmtId="4" fontId="9" fillId="8" borderId="10" xfId="0" applyNumberFormat="1" applyFont="1" applyFill="1" applyBorder="1" applyAlignment="1">
      <alignment wrapText="1"/>
    </xf>
    <xf numFmtId="49" fontId="26" fillId="5" borderId="0" xfId="0" applyNumberFormat="1" applyFont="1" applyFill="1"/>
    <xf numFmtId="164" fontId="3" fillId="2" borderId="1" xfId="0" applyNumberFormat="1" applyFont="1" applyFill="1" applyBorder="1" applyAlignment="1" applyProtection="1">
      <alignment horizontal="right" wrapText="1"/>
      <protection locked="0"/>
    </xf>
    <xf numFmtId="164" fontId="3" fillId="2" borderId="10" xfId="0" applyNumberFormat="1" applyFont="1" applyFill="1" applyBorder="1" applyAlignment="1" applyProtection="1">
      <alignment horizontal="right" wrapText="1"/>
      <protection locked="0"/>
    </xf>
    <xf numFmtId="0" fontId="0" fillId="0" borderId="0" xfId="0" quotePrefix="1"/>
    <xf numFmtId="49" fontId="0" fillId="0" borderId="14" xfId="0" applyNumberFormat="1" applyBorder="1"/>
    <xf numFmtId="49" fontId="14" fillId="0" borderId="15" xfId="0" applyNumberFormat="1" applyFont="1" applyBorder="1"/>
    <xf numFmtId="49" fontId="0" fillId="0" borderId="16" xfId="0" applyNumberFormat="1" applyBorder="1"/>
    <xf numFmtId="49" fontId="14" fillId="0" borderId="17" xfId="0" applyNumberFormat="1" applyFont="1" applyBorder="1"/>
    <xf numFmtId="49" fontId="0" fillId="0" borderId="18" xfId="0" applyNumberFormat="1" applyBorder="1"/>
    <xf numFmtId="49" fontId="14" fillId="0" borderId="19" xfId="0" applyNumberFormat="1" applyFont="1" applyBorder="1"/>
    <xf numFmtId="49" fontId="0" fillId="0" borderId="20" xfId="0" applyNumberFormat="1" applyBorder="1"/>
    <xf numFmtId="49" fontId="14" fillId="0" borderId="16" xfId="0" applyNumberFormat="1" applyFont="1" applyBorder="1"/>
    <xf numFmtId="49" fontId="0" fillId="0" borderId="21" xfId="0" applyNumberFormat="1" applyBorder="1"/>
    <xf numFmtId="49" fontId="0" fillId="0" borderId="22" xfId="0" applyNumberFormat="1" applyBorder="1"/>
    <xf numFmtId="49" fontId="0" fillId="0" borderId="23" xfId="0" applyNumberFormat="1" applyBorder="1"/>
    <xf numFmtId="49" fontId="0" fillId="0" borderId="15" xfId="0" applyNumberFormat="1" applyBorder="1"/>
    <xf numFmtId="0" fontId="0" fillId="0" borderId="0" xfId="0" applyAlignment="1">
      <alignment vertical="top" wrapText="1"/>
    </xf>
    <xf numFmtId="0" fontId="0" fillId="0" borderId="17" xfId="0" applyBorder="1"/>
    <xf numFmtId="0" fontId="0" fillId="0" borderId="19" xfId="0" applyBorder="1"/>
    <xf numFmtId="49" fontId="0" fillId="0" borderId="17" xfId="0" applyNumberFormat="1" applyBorder="1"/>
    <xf numFmtId="49" fontId="0" fillId="0" borderId="19" xfId="0" applyNumberFormat="1" applyBorder="1"/>
    <xf numFmtId="49" fontId="14" fillId="0" borderId="15" xfId="0" applyNumberFormat="1" applyFont="1" applyBorder="1" applyAlignment="1">
      <alignment wrapText="1"/>
    </xf>
    <xf numFmtId="49" fontId="0" fillId="0" borderId="17" xfId="0" applyNumberFormat="1" applyBorder="1" applyAlignment="1">
      <alignment wrapText="1"/>
    </xf>
    <xf numFmtId="49" fontId="0" fillId="0" borderId="19" xfId="0" applyNumberFormat="1" applyBorder="1" applyAlignment="1">
      <alignment wrapText="1"/>
    </xf>
    <xf numFmtId="49" fontId="0" fillId="0" borderId="24" xfId="0" applyNumberFormat="1" applyBorder="1"/>
    <xf numFmtId="49" fontId="14" fillId="0" borderId="18" xfId="0" applyNumberFormat="1" applyFont="1" applyBorder="1"/>
    <xf numFmtId="49" fontId="14" fillId="0" borderId="20" xfId="0" applyNumberFormat="1" applyFont="1" applyBorder="1"/>
    <xf numFmtId="49" fontId="14" fillId="0" borderId="24" xfId="0" applyNumberFormat="1" applyFont="1" applyBorder="1"/>
    <xf numFmtId="0" fontId="0" fillId="0" borderId="16" xfId="0" applyBorder="1"/>
    <xf numFmtId="0" fontId="0" fillId="0" borderId="18" xfId="0" applyBorder="1"/>
    <xf numFmtId="0" fontId="0" fillId="0" borderId="20" xfId="0" applyBorder="1"/>
    <xf numFmtId="0" fontId="0" fillId="0" borderId="24" xfId="0" applyBorder="1"/>
    <xf numFmtId="0" fontId="0" fillId="0" borderId="14" xfId="0" applyBorder="1"/>
    <xf numFmtId="49" fontId="14" fillId="0" borderId="14" xfId="0" applyNumberFormat="1" applyFont="1" applyBorder="1"/>
    <xf numFmtId="0" fontId="10" fillId="0" borderId="15" xfId="0" applyFont="1" applyBorder="1"/>
    <xf numFmtId="0" fontId="10" fillId="0" borderId="24" xfId="0" applyFont="1" applyBorder="1" applyAlignment="1">
      <alignment wrapText="1"/>
    </xf>
    <xf numFmtId="0" fontId="10" fillId="0" borderId="24" xfId="0" applyFont="1" applyBorder="1"/>
    <xf numFmtId="0" fontId="10" fillId="0" borderId="16" xfId="0" applyFont="1" applyBorder="1"/>
    <xf numFmtId="0" fontId="10" fillId="0" borderId="17" xfId="0" applyFont="1" applyBorder="1"/>
    <xf numFmtId="0" fontId="10" fillId="0" borderId="18" xfId="0" applyFont="1" applyBorder="1"/>
    <xf numFmtId="0" fontId="10" fillId="0" borderId="19" xfId="0" applyFont="1" applyBorder="1"/>
    <xf numFmtId="0" fontId="10" fillId="0" borderId="14" xfId="0" applyFont="1" applyBorder="1" applyAlignment="1">
      <alignment wrapText="1"/>
    </xf>
    <xf numFmtId="0" fontId="10" fillId="0" borderId="14" xfId="0" applyFont="1" applyBorder="1"/>
    <xf numFmtId="0" fontId="10" fillId="0" borderId="20" xfId="0" applyFont="1" applyBorder="1"/>
    <xf numFmtId="0" fontId="15" fillId="7" borderId="15" xfId="0" applyFont="1" applyFill="1" applyBorder="1"/>
    <xf numFmtId="0" fontId="15" fillId="0" borderId="24" xfId="0" applyFont="1" applyBorder="1"/>
    <xf numFmtId="0" fontId="15" fillId="0" borderId="24" xfId="0" applyFont="1" applyBorder="1" applyAlignment="1">
      <alignment wrapText="1"/>
    </xf>
    <xf numFmtId="0" fontId="0" fillId="0" borderId="16" xfId="0" applyBorder="1" applyAlignment="1">
      <alignment wrapText="1"/>
    </xf>
    <xf numFmtId="0" fontId="0" fillId="0" borderId="14" xfId="0" applyBorder="1" applyAlignment="1">
      <alignment wrapText="1"/>
    </xf>
    <xf numFmtId="0" fontId="15" fillId="7" borderId="15" xfId="0" applyFont="1" applyFill="1" applyBorder="1" applyAlignment="1">
      <alignment wrapText="1"/>
    </xf>
    <xf numFmtId="0" fontId="0" fillId="0" borderId="24" xfId="0" applyBorder="1" applyAlignment="1">
      <alignment wrapText="1"/>
    </xf>
    <xf numFmtId="4" fontId="9" fillId="9" borderId="1" xfId="0" applyNumberFormat="1" applyFont="1" applyFill="1" applyBorder="1" applyAlignment="1" applyProtection="1">
      <alignment horizontal="right" wrapText="1"/>
      <protection locked="0"/>
    </xf>
    <xf numFmtId="0" fontId="26" fillId="3" borderId="0" xfId="0" applyFont="1" applyFill="1"/>
    <xf numFmtId="4" fontId="9" fillId="9" borderId="10" xfId="0" applyNumberFormat="1" applyFont="1" applyFill="1" applyBorder="1" applyAlignment="1" applyProtection="1">
      <alignment wrapText="1"/>
      <protection locked="0"/>
    </xf>
    <xf numFmtId="4" fontId="9" fillId="9" borderId="1" xfId="0" applyNumberFormat="1" applyFont="1" applyFill="1" applyBorder="1" applyAlignment="1" applyProtection="1">
      <alignment wrapText="1"/>
      <protection locked="0"/>
    </xf>
    <xf numFmtId="1" fontId="27" fillId="0" borderId="0" xfId="0" applyNumberFormat="1" applyFont="1"/>
    <xf numFmtId="0" fontId="27" fillId="0" borderId="0" xfId="0" applyFont="1"/>
    <xf numFmtId="0" fontId="26" fillId="5" borderId="0" xfId="0" applyFont="1" applyFill="1" applyAlignment="1">
      <alignment wrapText="1"/>
    </xf>
    <xf numFmtId="0" fontId="0" fillId="0" borderId="0" xfId="0" applyAlignment="1">
      <alignment horizontal="center"/>
    </xf>
    <xf numFmtId="0" fontId="0" fillId="0" borderId="0" xfId="0" applyProtection="1">
      <protection hidden="1"/>
    </xf>
    <xf numFmtId="0" fontId="3" fillId="2" borderId="25" xfId="5" applyFont="1" applyFill="1" applyBorder="1"/>
    <xf numFmtId="0" fontId="0" fillId="10" borderId="0" xfId="0" applyFill="1"/>
    <xf numFmtId="0" fontId="26" fillId="10" borderId="0" xfId="0" applyFont="1" applyFill="1"/>
    <xf numFmtId="0" fontId="14" fillId="0" borderId="22" xfId="0" applyFont="1" applyBorder="1"/>
    <xf numFmtId="0" fontId="14" fillId="0" borderId="21" xfId="0" applyFont="1" applyBorder="1"/>
    <xf numFmtId="0" fontId="0" fillId="0" borderId="22" xfId="0" applyBorder="1"/>
    <xf numFmtId="0" fontId="0" fillId="0" borderId="23" xfId="0" applyBorder="1"/>
    <xf numFmtId="0" fontId="13" fillId="0" borderId="1" xfId="2" applyBorder="1"/>
    <xf numFmtId="0" fontId="28" fillId="0" borderId="0" xfId="0" applyFont="1"/>
    <xf numFmtId="0" fontId="26" fillId="5" borderId="0" xfId="0" applyFont="1" applyFill="1" applyAlignment="1">
      <alignment horizontal="right"/>
    </xf>
    <xf numFmtId="0" fontId="20" fillId="2" borderId="26" xfId="0" applyFont="1" applyFill="1" applyBorder="1" applyAlignment="1">
      <alignment horizontal="center" vertical="top" wrapText="1"/>
    </xf>
    <xf numFmtId="4" fontId="20" fillId="3" borderId="27" xfId="0" applyNumberFormat="1" applyFont="1" applyFill="1" applyBorder="1" applyAlignment="1">
      <alignment wrapText="1"/>
    </xf>
    <xf numFmtId="0" fontId="15" fillId="11" borderId="26" xfId="0" applyFont="1" applyFill="1" applyBorder="1"/>
    <xf numFmtId="0" fontId="15" fillId="0" borderId="15" xfId="0" applyFont="1" applyBorder="1"/>
    <xf numFmtId="0" fontId="15" fillId="0" borderId="16" xfId="0" applyFont="1" applyBorder="1"/>
    <xf numFmtId="0" fontId="0" fillId="0" borderId="17" xfId="0" applyBorder="1" applyAlignment="1">
      <alignment wrapText="1"/>
    </xf>
    <xf numFmtId="0" fontId="0" fillId="0" borderId="19" xfId="0" applyBorder="1" applyAlignment="1">
      <alignment wrapText="1"/>
    </xf>
    <xf numFmtId="0" fontId="20" fillId="2" borderId="1" xfId="0" applyFont="1" applyFill="1" applyBorder="1" applyAlignment="1">
      <alignment horizontal="left" wrapText="1"/>
    </xf>
    <xf numFmtId="0" fontId="9" fillId="2" borderId="1" xfId="0" applyFont="1" applyFill="1" applyBorder="1" applyAlignment="1">
      <alignment horizontal="left" wrapText="1"/>
    </xf>
    <xf numFmtId="3" fontId="9" fillId="3" borderId="1" xfId="0" applyNumberFormat="1" applyFont="1" applyFill="1" applyBorder="1" applyAlignment="1">
      <alignment horizontal="right" wrapText="1"/>
    </xf>
    <xf numFmtId="0" fontId="28" fillId="5" borderId="8" xfId="0" applyFont="1" applyFill="1" applyBorder="1"/>
    <xf numFmtId="0" fontId="28" fillId="5" borderId="0" xfId="0" applyFont="1" applyFill="1"/>
    <xf numFmtId="0" fontId="26" fillId="5" borderId="8" xfId="0" applyFont="1" applyFill="1" applyBorder="1"/>
    <xf numFmtId="4" fontId="20" fillId="9" borderId="1" xfId="0" applyNumberFormat="1" applyFont="1" applyFill="1" applyBorder="1" applyAlignment="1" applyProtection="1">
      <alignment vertical="top" wrapText="1"/>
      <protection locked="0"/>
    </xf>
    <xf numFmtId="2" fontId="9" fillId="2" borderId="1" xfId="0" applyNumberFormat="1" applyFont="1" applyFill="1" applyBorder="1" applyAlignment="1" applyProtection="1">
      <alignment wrapText="1"/>
      <protection locked="0"/>
    </xf>
    <xf numFmtId="0" fontId="18" fillId="5" borderId="0" xfId="0" applyFont="1" applyFill="1" applyAlignment="1">
      <alignment horizontal="center"/>
    </xf>
    <xf numFmtId="4" fontId="3" fillId="2" borderId="1" xfId="0" applyNumberFormat="1" applyFont="1" applyFill="1" applyBorder="1" applyAlignment="1" applyProtection="1">
      <alignment horizontal="right" wrapText="1"/>
      <protection locked="0"/>
    </xf>
    <xf numFmtId="0" fontId="10" fillId="0" borderId="0" xfId="0" applyFont="1" applyAlignment="1">
      <alignment horizontal="justify" vertical="center"/>
    </xf>
    <xf numFmtId="0" fontId="26" fillId="8" borderId="0" xfId="0" applyFont="1" applyFill="1"/>
    <xf numFmtId="1" fontId="9" fillId="9" borderId="26" xfId="0" applyNumberFormat="1" applyFont="1" applyFill="1" applyBorder="1" applyProtection="1">
      <protection locked="0"/>
    </xf>
    <xf numFmtId="49" fontId="9" fillId="9" borderId="26" xfId="0" applyNumberFormat="1" applyFont="1" applyFill="1" applyBorder="1" applyProtection="1">
      <protection locked="0"/>
    </xf>
    <xf numFmtId="4" fontId="20" fillId="12" borderId="1" xfId="0" applyNumberFormat="1" applyFont="1" applyFill="1" applyBorder="1" applyAlignment="1" applyProtection="1">
      <alignment horizontal="right" wrapText="1"/>
      <protection locked="0"/>
    </xf>
    <xf numFmtId="3" fontId="9" fillId="12" borderId="1" xfId="7" applyNumberFormat="1" applyFont="1" applyFill="1" applyBorder="1" applyAlignment="1" applyProtection="1">
      <alignment horizontal="right" wrapText="1"/>
      <protection locked="0"/>
    </xf>
    <xf numFmtId="4" fontId="20" fillId="8" borderId="1" xfId="0" applyNumberFormat="1" applyFont="1" applyFill="1" applyBorder="1" applyAlignment="1">
      <alignment horizontal="right" wrapText="1"/>
    </xf>
    <xf numFmtId="0" fontId="2" fillId="4" borderId="4" xfId="6" applyFont="1" applyFill="1" applyBorder="1" applyAlignment="1">
      <alignment horizontal="left" vertical="center" wrapText="1"/>
    </xf>
    <xf numFmtId="0" fontId="3" fillId="2" borderId="1" xfId="4" applyFont="1" applyFill="1" applyBorder="1" applyAlignment="1">
      <alignment horizontal="left" wrapText="1"/>
    </xf>
    <xf numFmtId="0" fontId="3" fillId="2" borderId="9" xfId="5" applyFont="1" applyFill="1" applyBorder="1" applyAlignment="1">
      <alignment horizontal="left" wrapText="1"/>
    </xf>
    <xf numFmtId="0" fontId="5" fillId="2" borderId="9" xfId="5" applyFont="1" applyFill="1" applyBorder="1" applyAlignment="1">
      <alignment horizontal="left" wrapText="1"/>
    </xf>
    <xf numFmtId="0" fontId="2" fillId="4" borderId="2" xfId="5" applyFont="1" applyFill="1" applyBorder="1" applyAlignment="1">
      <alignment horizontal="left"/>
    </xf>
    <xf numFmtId="0" fontId="0" fillId="0" borderId="0" xfId="0" applyAlignment="1">
      <alignment horizontal="center"/>
    </xf>
    <xf numFmtId="0" fontId="29" fillId="0" borderId="0" xfId="0" applyFont="1" applyAlignment="1">
      <alignment horizontal="center" vertical="center" wrapText="1"/>
    </xf>
    <xf numFmtId="0" fontId="29" fillId="0" borderId="0" xfId="0" applyFont="1" applyAlignment="1">
      <alignment horizontal="center" vertical="center"/>
    </xf>
    <xf numFmtId="0" fontId="2" fillId="4" borderId="12" xfId="6" applyFont="1" applyFill="1" applyBorder="1" applyAlignment="1">
      <alignment horizontal="left" vertical="center"/>
    </xf>
    <xf numFmtId="0" fontId="16" fillId="6" borderId="1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2" fillId="2" borderId="1" xfId="0" applyFont="1" applyFill="1" applyBorder="1" applyAlignment="1" applyProtection="1">
      <alignment horizontal="right" vertical="center" wrapText="1"/>
      <protection locked="0"/>
    </xf>
    <xf numFmtId="0" fontId="2" fillId="4" borderId="1" xfId="0" applyFont="1" applyFill="1" applyBorder="1" applyAlignment="1">
      <alignment horizontal="right" vertical="center" wrapText="1"/>
    </xf>
    <xf numFmtId="0" fontId="16" fillId="6" borderId="2" xfId="0" applyFont="1" applyFill="1" applyBorder="1" applyAlignment="1">
      <alignment horizontal="center" vertical="center" wrapText="1"/>
    </xf>
    <xf numFmtId="0" fontId="2" fillId="4" borderId="28" xfId="0" applyFont="1" applyFill="1" applyBorder="1" applyAlignment="1">
      <alignment horizontal="center" vertical="center" wrapText="1"/>
    </xf>
    <xf numFmtId="0" fontId="2" fillId="4" borderId="5" xfId="0" applyFont="1" applyFill="1" applyBorder="1" applyAlignment="1">
      <alignment horizontal="right" vertical="center" wrapText="1"/>
    </xf>
    <xf numFmtId="0" fontId="2" fillId="4" borderId="29" xfId="0" applyFont="1" applyFill="1" applyBorder="1" applyAlignment="1">
      <alignment horizontal="center" vertical="center" wrapText="1"/>
    </xf>
    <xf numFmtId="0" fontId="16" fillId="6" borderId="9" xfId="0" applyFont="1" applyFill="1" applyBorder="1" applyAlignment="1">
      <alignment horizontal="center" vertical="center" wrapText="1"/>
    </xf>
    <xf numFmtId="4" fontId="22" fillId="4" borderId="4" xfId="0" applyNumberFormat="1" applyFont="1" applyFill="1" applyBorder="1" applyAlignment="1">
      <alignment horizontal="right" wrapText="1"/>
    </xf>
    <xf numFmtId="4" fontId="22" fillId="4" borderId="2" xfId="0" applyNumberFormat="1" applyFont="1" applyFill="1" applyBorder="1" applyAlignment="1">
      <alignment horizontal="right" wrapText="1"/>
    </xf>
    <xf numFmtId="49" fontId="22" fillId="4" borderId="1" xfId="0" applyNumberFormat="1" applyFont="1" applyFill="1" applyBorder="1" applyAlignment="1">
      <alignment horizontal="right" wrapText="1"/>
    </xf>
    <xf numFmtId="49" fontId="22" fillId="4" borderId="4" xfId="0" applyNumberFormat="1" applyFont="1" applyFill="1" applyBorder="1" applyAlignment="1">
      <alignment horizontal="right" wrapText="1"/>
    </xf>
    <xf numFmtId="0" fontId="2" fillId="4" borderId="30" xfId="0" applyFont="1" applyFill="1" applyBorder="1" applyAlignment="1">
      <alignment horizontal="center" vertical="center" wrapText="1"/>
    </xf>
    <xf numFmtId="49" fontId="22" fillId="4" borderId="5" xfId="0" applyNumberFormat="1" applyFont="1" applyFill="1" applyBorder="1" applyAlignment="1">
      <alignment horizontal="right" wrapText="1"/>
    </xf>
    <xf numFmtId="0" fontId="2" fillId="4" borderId="31" xfId="0" applyFont="1" applyFill="1" applyBorder="1" applyAlignment="1">
      <alignment horizontal="center" vertical="center" wrapText="1"/>
    </xf>
    <xf numFmtId="0" fontId="16" fillId="6" borderId="1" xfId="0" applyFont="1" applyFill="1" applyBorder="1" applyAlignment="1">
      <alignment horizontal="center" vertical="center" wrapText="1"/>
    </xf>
    <xf numFmtId="49" fontId="2" fillId="4" borderId="11" xfId="0" applyNumberFormat="1" applyFont="1" applyFill="1" applyBorder="1" applyAlignment="1">
      <alignment horizontal="right" wrapText="1"/>
    </xf>
    <xf numFmtId="0" fontId="16" fillId="6" borderId="12" xfId="0" applyFont="1" applyFill="1" applyBorder="1" applyAlignment="1">
      <alignment horizontal="center" vertical="center" wrapText="1"/>
    </xf>
    <xf numFmtId="0" fontId="2" fillId="4" borderId="32" xfId="0" applyFont="1" applyFill="1" applyBorder="1" applyAlignment="1">
      <alignment horizontal="right" vertical="center" wrapText="1"/>
    </xf>
    <xf numFmtId="0" fontId="2" fillId="4" borderId="32" xfId="0" applyFont="1" applyFill="1" applyBorder="1" applyAlignment="1">
      <alignment horizontal="center" vertical="center" wrapText="1"/>
    </xf>
    <xf numFmtId="0" fontId="16" fillId="6" borderId="33" xfId="0" applyFont="1" applyFill="1" applyBorder="1" applyAlignment="1">
      <alignment horizontal="center" vertical="center" wrapText="1"/>
    </xf>
    <xf numFmtId="0" fontId="16" fillId="6" borderId="34" xfId="0" applyFont="1" applyFill="1" applyBorder="1" applyAlignment="1">
      <alignment horizontal="center" vertical="center" wrapText="1"/>
    </xf>
    <xf numFmtId="0" fontId="16" fillId="6" borderId="35" xfId="0" applyFont="1" applyFill="1" applyBorder="1" applyAlignment="1">
      <alignment horizontal="center" vertical="center" wrapText="1"/>
    </xf>
    <xf numFmtId="0" fontId="2" fillId="4" borderId="33" xfId="0" applyFont="1" applyFill="1" applyBorder="1" applyAlignment="1">
      <alignment horizontal="right" vertical="center" wrapText="1"/>
    </xf>
    <xf numFmtId="0" fontId="2" fillId="4" borderId="34" xfId="0" applyFont="1" applyFill="1" applyBorder="1" applyAlignment="1">
      <alignment horizontal="right" vertical="center" wrapText="1"/>
    </xf>
    <xf numFmtId="0" fontId="2" fillId="4" borderId="35" xfId="0" applyFont="1" applyFill="1" applyBorder="1" applyAlignment="1">
      <alignment horizontal="right" vertical="center" wrapText="1"/>
    </xf>
    <xf numFmtId="0" fontId="16" fillId="6" borderId="36" xfId="0" applyFont="1" applyFill="1" applyBorder="1" applyAlignment="1">
      <alignment horizontal="center" vertical="center" wrapText="1"/>
    </xf>
    <xf numFmtId="0" fontId="16" fillId="6" borderId="27" xfId="0" applyFont="1" applyFill="1" applyBorder="1" applyAlignment="1">
      <alignment horizontal="center" vertical="center" wrapText="1"/>
    </xf>
    <xf numFmtId="49" fontId="3" fillId="8" borderId="1" xfId="0" applyNumberFormat="1" applyFont="1" applyFill="1" applyBorder="1" applyAlignment="1" applyProtection="1">
      <alignment horizontal="left" wrapText="1"/>
    </xf>
    <xf numFmtId="49" fontId="9" fillId="8" borderId="1" xfId="8" applyNumberFormat="1" applyFont="1" applyFill="1" applyBorder="1" applyAlignment="1" applyProtection="1">
      <alignment horizontal="left" wrapText="1"/>
    </xf>
    <xf numFmtId="0" fontId="3" fillId="8" borderId="1" xfId="0" applyFont="1" applyFill="1" applyBorder="1" applyAlignment="1" applyProtection="1">
      <alignment horizontal="right" wrapText="1"/>
    </xf>
    <xf numFmtId="49" fontId="3" fillId="8" borderId="1" xfId="0" applyNumberFormat="1" applyFont="1" applyFill="1" applyBorder="1" applyAlignment="1" applyProtection="1">
      <alignment horizontal="right" wrapText="1"/>
    </xf>
    <xf numFmtId="4" fontId="9" fillId="8" borderId="1" xfId="0" applyNumberFormat="1" applyFont="1" applyFill="1" applyBorder="1" applyAlignment="1" applyProtection="1">
      <alignment horizontal="right" wrapText="1"/>
    </xf>
  </cellXfs>
  <cellStyles count="9">
    <cellStyle name="ErrorLink" xfId="1" xr:uid="{875390C1-729B-4A1B-8DB4-11B52A7DEC88}"/>
    <cellStyle name="Hyperlink" xfId="2" builtinId="8"/>
    <cellStyle name="Normal" xfId="0" builtinId="0"/>
    <cellStyle name="Normal 10" xfId="3" xr:uid="{59EC036D-29EE-49F5-B0B1-4DC3F9C8A7A2}"/>
    <cellStyle name="Normal 2 2" xfId="4" xr:uid="{7357C300-50CD-494B-8CD8-93D2EE1B192D}"/>
    <cellStyle name="Normal 2 7" xfId="5" xr:uid="{5C4710B0-ED4A-467A-85FF-414D329BF940}"/>
    <cellStyle name="Normal 5" xfId="6" xr:uid="{4C9E4A4F-7CDD-445C-AF54-1E2093824373}"/>
    <cellStyle name="Normal 7 2" xfId="7" xr:uid="{4B5822C0-592F-4080-A1CC-4FB95CF60576}"/>
    <cellStyle name="Normal 8" xfId="8" xr:uid="{CEE7D93F-4257-41BB-8357-3BDDAA80806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6.png"/><Relationship Id="rId1" Type="http://schemas.openxmlformats.org/officeDocument/2006/relationships/image" Target="../media/image4.png"/><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9525</xdr:rowOff>
    </xdr:from>
    <xdr:to>
      <xdr:col>2</xdr:col>
      <xdr:colOff>2695575</xdr:colOff>
      <xdr:row>11</xdr:row>
      <xdr:rowOff>9525</xdr:rowOff>
    </xdr:to>
    <xdr:pic>
      <xdr:nvPicPr>
        <xdr:cNvPr id="1045" name="Picture 1">
          <a:extLst>
            <a:ext uri="{FF2B5EF4-FFF2-40B4-BE49-F238E27FC236}">
              <a16:creationId xmlns:a16="http://schemas.microsoft.com/office/drawing/2014/main" id="{53C7A823-D609-5B12-5811-B55686E1C1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2428875</xdr:colOff>
      <xdr:row>10</xdr:row>
      <xdr:rowOff>9525</xdr:rowOff>
    </xdr:from>
    <xdr:to>
      <xdr:col>2</xdr:col>
      <xdr:colOff>2695575</xdr:colOff>
      <xdr:row>11</xdr:row>
      <xdr:rowOff>9525</xdr:rowOff>
    </xdr:to>
    <xdr:pic>
      <xdr:nvPicPr>
        <xdr:cNvPr id="1046" name="Picture 1">
          <a:extLst>
            <a:ext uri="{FF2B5EF4-FFF2-40B4-BE49-F238E27FC236}">
              <a16:creationId xmlns:a16="http://schemas.microsoft.com/office/drawing/2014/main" id="{46F50CB2-34E0-A136-B8CA-4AA2920667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2676525</xdr:colOff>
      <xdr:row>12</xdr:row>
      <xdr:rowOff>9525</xdr:rowOff>
    </xdr:to>
    <xdr:pic>
      <xdr:nvPicPr>
        <xdr:cNvPr id="2069" name="Picture 1">
          <a:extLst>
            <a:ext uri="{FF2B5EF4-FFF2-40B4-BE49-F238E27FC236}">
              <a16:creationId xmlns:a16="http://schemas.microsoft.com/office/drawing/2014/main" id="{C8A82A78-C557-9D2C-7424-44651D98A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0"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2409825</xdr:colOff>
      <xdr:row>11</xdr:row>
      <xdr:rowOff>9525</xdr:rowOff>
    </xdr:from>
    <xdr:to>
      <xdr:col>3</xdr:col>
      <xdr:colOff>2676525</xdr:colOff>
      <xdr:row>12</xdr:row>
      <xdr:rowOff>9525</xdr:rowOff>
    </xdr:to>
    <xdr:pic>
      <xdr:nvPicPr>
        <xdr:cNvPr id="2070" name="Picture 1">
          <a:extLst>
            <a:ext uri="{FF2B5EF4-FFF2-40B4-BE49-F238E27FC236}">
              <a16:creationId xmlns:a16="http://schemas.microsoft.com/office/drawing/2014/main" id="{1A87FC60-43FC-2C98-0310-60F83E11DA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0"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609600</xdr:rowOff>
    </xdr:to>
    <xdr:pic>
      <xdr:nvPicPr>
        <xdr:cNvPr id="3114" name="Picture 2">
          <a:extLst>
            <a:ext uri="{FF2B5EF4-FFF2-40B4-BE49-F238E27FC236}">
              <a16:creationId xmlns:a16="http://schemas.microsoft.com/office/drawing/2014/main" id="{66E739D9-0A87-27EE-C70E-7EF6CB7EDA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6193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7</xdr:row>
      <xdr:rowOff>323850</xdr:rowOff>
    </xdr:from>
    <xdr:to>
      <xdr:col>1</xdr:col>
      <xdr:colOff>438150</xdr:colOff>
      <xdr:row>8</xdr:row>
      <xdr:rowOff>190500</xdr:rowOff>
    </xdr:to>
    <xdr:pic macro="[0]!findNext_sheet">
      <xdr:nvPicPr>
        <xdr:cNvPr id="3115" name="Picture 14">
          <a:extLst>
            <a:ext uri="{FF2B5EF4-FFF2-40B4-BE49-F238E27FC236}">
              <a16:creationId xmlns:a16="http://schemas.microsoft.com/office/drawing/2014/main" id="{C9013FAE-C172-A5C3-C1BB-8B700FBFFDF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2650" y="240982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0</xdr:colOff>
      <xdr:row>0</xdr:row>
      <xdr:rowOff>0</xdr:rowOff>
    </xdr:from>
    <xdr:to>
      <xdr:col>1</xdr:col>
      <xdr:colOff>0</xdr:colOff>
      <xdr:row>0</xdr:row>
      <xdr:rowOff>609600</xdr:rowOff>
    </xdr:to>
    <xdr:pic>
      <xdr:nvPicPr>
        <xdr:cNvPr id="3116" name="Picture 2">
          <a:extLst>
            <a:ext uri="{FF2B5EF4-FFF2-40B4-BE49-F238E27FC236}">
              <a16:creationId xmlns:a16="http://schemas.microsoft.com/office/drawing/2014/main" id="{3A998B56-1504-AA20-799B-E8C644A799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6193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7</xdr:row>
      <xdr:rowOff>323850</xdr:rowOff>
    </xdr:from>
    <xdr:to>
      <xdr:col>1</xdr:col>
      <xdr:colOff>438150</xdr:colOff>
      <xdr:row>8</xdr:row>
      <xdr:rowOff>190500</xdr:rowOff>
    </xdr:to>
    <xdr:pic macro="[0]!findNext_sheet">
      <xdr:nvPicPr>
        <xdr:cNvPr id="3117" name="Picture 14">
          <a:extLst>
            <a:ext uri="{FF2B5EF4-FFF2-40B4-BE49-F238E27FC236}">
              <a16:creationId xmlns:a16="http://schemas.microsoft.com/office/drawing/2014/main" id="{D1A0F71A-7521-D77C-9633-1C81D4B33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2650" y="240982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838200</xdr:colOff>
      <xdr:row>8</xdr:row>
      <xdr:rowOff>95250</xdr:rowOff>
    </xdr:from>
    <xdr:to>
      <xdr:col>2</xdr:col>
      <xdr:colOff>1743075</xdr:colOff>
      <xdr:row>8</xdr:row>
      <xdr:rowOff>438150</xdr:rowOff>
    </xdr:to>
    <xdr:pic macro="[0]!Sheet9.addRow_DtlsSalPdBftsPayeDedFrmEmp_List">
      <xdr:nvPicPr>
        <xdr:cNvPr id="4177" name="Picture 5">
          <a:extLst>
            <a:ext uri="{FF2B5EF4-FFF2-40B4-BE49-F238E27FC236}">
              <a16:creationId xmlns:a16="http://schemas.microsoft.com/office/drawing/2014/main" id="{A9D9B1D0-2EB5-4973-288D-05CAD93E2F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33900" y="2990850"/>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9</xdr:row>
      <xdr:rowOff>47625</xdr:rowOff>
    </xdr:from>
    <xdr:to>
      <xdr:col>3</xdr:col>
      <xdr:colOff>1000125</xdr:colOff>
      <xdr:row>9</xdr:row>
      <xdr:rowOff>390525</xdr:rowOff>
    </xdr:to>
    <xdr:pic macro="[0]!findNext_sheet">
      <xdr:nvPicPr>
        <xdr:cNvPr id="4178" name="Picture 6">
          <a:extLst>
            <a:ext uri="{FF2B5EF4-FFF2-40B4-BE49-F238E27FC236}">
              <a16:creationId xmlns:a16="http://schemas.microsoft.com/office/drawing/2014/main" id="{FE4EE81C-AE37-C440-C4C6-43C2E55561B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38800" y="341947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838200</xdr:colOff>
      <xdr:row>9</xdr:row>
      <xdr:rowOff>47625</xdr:rowOff>
    </xdr:from>
    <xdr:to>
      <xdr:col>2</xdr:col>
      <xdr:colOff>1743075</xdr:colOff>
      <xdr:row>9</xdr:row>
      <xdr:rowOff>390525</xdr:rowOff>
    </xdr:to>
    <xdr:pic macro="[0]!findPrev_sheet">
      <xdr:nvPicPr>
        <xdr:cNvPr id="4179" name="Picture 7">
          <a:extLst>
            <a:ext uri="{FF2B5EF4-FFF2-40B4-BE49-F238E27FC236}">
              <a16:creationId xmlns:a16="http://schemas.microsoft.com/office/drawing/2014/main" id="{D69F46AF-74C4-AF22-D264-D26AE57B6A1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33900" y="341947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104775</xdr:rowOff>
    </xdr:from>
    <xdr:to>
      <xdr:col>3</xdr:col>
      <xdr:colOff>1000125</xdr:colOff>
      <xdr:row>8</xdr:row>
      <xdr:rowOff>447675</xdr:rowOff>
    </xdr:to>
    <xdr:pic macro="[0]!DtlsSalPdBftsPayeDedFrmEmp_List">
      <xdr:nvPicPr>
        <xdr:cNvPr id="4180" name="Picture 9">
          <a:extLst>
            <a:ext uri="{FF2B5EF4-FFF2-40B4-BE49-F238E27FC236}">
              <a16:creationId xmlns:a16="http://schemas.microsoft.com/office/drawing/2014/main" id="{C5F83D25-E471-2B2F-4800-3897E90DE29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38800" y="300037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838200</xdr:colOff>
      <xdr:row>8</xdr:row>
      <xdr:rowOff>95250</xdr:rowOff>
    </xdr:from>
    <xdr:to>
      <xdr:col>2</xdr:col>
      <xdr:colOff>1743075</xdr:colOff>
      <xdr:row>8</xdr:row>
      <xdr:rowOff>438150</xdr:rowOff>
    </xdr:to>
    <xdr:pic macro="[0]!Sheet9.addRow_DtlsSalPdBftsPayeDedFrmEmp_List">
      <xdr:nvPicPr>
        <xdr:cNvPr id="4181" name="Picture 5">
          <a:extLst>
            <a:ext uri="{FF2B5EF4-FFF2-40B4-BE49-F238E27FC236}">
              <a16:creationId xmlns:a16="http://schemas.microsoft.com/office/drawing/2014/main" id="{E0CB5834-DC82-B5F1-EE0B-DB0AACD5E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33900" y="2990850"/>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9</xdr:row>
      <xdr:rowOff>47625</xdr:rowOff>
    </xdr:from>
    <xdr:to>
      <xdr:col>3</xdr:col>
      <xdr:colOff>1000125</xdr:colOff>
      <xdr:row>9</xdr:row>
      <xdr:rowOff>390525</xdr:rowOff>
    </xdr:to>
    <xdr:pic macro="[0]!findNext_sheet">
      <xdr:nvPicPr>
        <xdr:cNvPr id="4182" name="Picture 6">
          <a:extLst>
            <a:ext uri="{FF2B5EF4-FFF2-40B4-BE49-F238E27FC236}">
              <a16:creationId xmlns:a16="http://schemas.microsoft.com/office/drawing/2014/main" id="{2B51E4CC-8522-A149-F5AF-7FCF4E257B4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38800" y="341947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838200</xdr:colOff>
      <xdr:row>9</xdr:row>
      <xdr:rowOff>47625</xdr:rowOff>
    </xdr:from>
    <xdr:to>
      <xdr:col>2</xdr:col>
      <xdr:colOff>1743075</xdr:colOff>
      <xdr:row>9</xdr:row>
      <xdr:rowOff>390525</xdr:rowOff>
    </xdr:to>
    <xdr:pic macro="[0]!findPrev_sheet">
      <xdr:nvPicPr>
        <xdr:cNvPr id="4183" name="Picture 7">
          <a:extLst>
            <a:ext uri="{FF2B5EF4-FFF2-40B4-BE49-F238E27FC236}">
              <a16:creationId xmlns:a16="http://schemas.microsoft.com/office/drawing/2014/main" id="{3DA55D47-ABF3-051C-B907-59E24684438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33900" y="341947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104775</xdr:rowOff>
    </xdr:from>
    <xdr:to>
      <xdr:col>3</xdr:col>
      <xdr:colOff>1000125</xdr:colOff>
      <xdr:row>8</xdr:row>
      <xdr:rowOff>447675</xdr:rowOff>
    </xdr:to>
    <xdr:pic macro="[0]!DtlsSalPdBftsPayeDedFrmEmp_List">
      <xdr:nvPicPr>
        <xdr:cNvPr id="4184" name="Picture 9">
          <a:extLst>
            <a:ext uri="{FF2B5EF4-FFF2-40B4-BE49-F238E27FC236}">
              <a16:creationId xmlns:a16="http://schemas.microsoft.com/office/drawing/2014/main" id="{98BEEE22-58D6-D613-DD0A-FA4C7F75B31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38800" y="300037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857250</xdr:colOff>
      <xdr:row>8</xdr:row>
      <xdr:rowOff>85725</xdr:rowOff>
    </xdr:from>
    <xdr:to>
      <xdr:col>3</xdr:col>
      <xdr:colOff>1009650</xdr:colOff>
      <xdr:row>9</xdr:row>
      <xdr:rowOff>390525</xdr:rowOff>
    </xdr:to>
    <xdr:grpSp>
      <xdr:nvGrpSpPr>
        <xdr:cNvPr id="5221" name="Group 1">
          <a:extLst>
            <a:ext uri="{FF2B5EF4-FFF2-40B4-BE49-F238E27FC236}">
              <a16:creationId xmlns:a16="http://schemas.microsoft.com/office/drawing/2014/main" id="{9BFA732E-009C-4626-B28C-987F45B7FDFC}"/>
            </a:ext>
          </a:extLst>
        </xdr:cNvPr>
        <xdr:cNvGrpSpPr>
          <a:grpSpLocks/>
        </xdr:cNvGrpSpPr>
      </xdr:nvGrpSpPr>
      <xdr:grpSpPr bwMode="auto">
        <a:xfrm>
          <a:off x="4552950" y="2914650"/>
          <a:ext cx="2000250" cy="771525"/>
          <a:chOff x="4552950" y="2657475"/>
          <a:chExt cx="2009775" cy="770887"/>
        </a:xfrm>
      </xdr:grpSpPr>
      <xdr:pic macro="[0]!Sheet10.addRow_DtlsSalPdBftsPayeDedFrmDsblEmp_List">
        <xdr:nvPicPr>
          <xdr:cNvPr id="5227" name="Picture 5">
            <a:extLst>
              <a:ext uri="{FF2B5EF4-FFF2-40B4-BE49-F238E27FC236}">
                <a16:creationId xmlns:a16="http://schemas.microsoft.com/office/drawing/2014/main" id="{A319A2CB-6CE4-C547-6559-88083AC9D0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2950" y="2657475"/>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5228" name="Picture 6">
            <a:extLst>
              <a:ext uri="{FF2B5EF4-FFF2-40B4-BE49-F238E27FC236}">
                <a16:creationId xmlns:a16="http://schemas.microsoft.com/office/drawing/2014/main" id="{AA3FDDFF-6140-0855-8A29-F8D3AB5A08B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8808"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5229" name="Picture 7">
            <a:extLst>
              <a:ext uri="{FF2B5EF4-FFF2-40B4-BE49-F238E27FC236}">
                <a16:creationId xmlns:a16="http://schemas.microsoft.com/office/drawing/2014/main" id="{14E37690-4BAF-833E-6FA5-4AF78342E63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52950"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SalPdBftsPayeDedFrmDsblEmp_List">
        <xdr:nvPicPr>
          <xdr:cNvPr id="5230" name="Picture 9">
            <a:extLst>
              <a:ext uri="{FF2B5EF4-FFF2-40B4-BE49-F238E27FC236}">
                <a16:creationId xmlns:a16="http://schemas.microsoft.com/office/drawing/2014/main" id="{5B152F7F-DD58-3B81-C1C2-3DFCC1A2D18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808" y="2666409"/>
            <a:ext cx="913917" cy="347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857250</xdr:colOff>
      <xdr:row>8</xdr:row>
      <xdr:rowOff>85725</xdr:rowOff>
    </xdr:from>
    <xdr:to>
      <xdr:col>3</xdr:col>
      <xdr:colOff>1009650</xdr:colOff>
      <xdr:row>9</xdr:row>
      <xdr:rowOff>390525</xdr:rowOff>
    </xdr:to>
    <xdr:grpSp>
      <xdr:nvGrpSpPr>
        <xdr:cNvPr id="5222" name="Group 1">
          <a:extLst>
            <a:ext uri="{FF2B5EF4-FFF2-40B4-BE49-F238E27FC236}">
              <a16:creationId xmlns:a16="http://schemas.microsoft.com/office/drawing/2014/main" id="{777CFC68-6AB6-2D5E-7E5E-FC3388DD18FB}"/>
            </a:ext>
          </a:extLst>
        </xdr:cNvPr>
        <xdr:cNvGrpSpPr>
          <a:grpSpLocks/>
        </xdr:cNvGrpSpPr>
      </xdr:nvGrpSpPr>
      <xdr:grpSpPr bwMode="auto">
        <a:xfrm>
          <a:off x="4552950" y="2914650"/>
          <a:ext cx="2000250" cy="771525"/>
          <a:chOff x="4552950" y="2657475"/>
          <a:chExt cx="2009775" cy="770887"/>
        </a:xfrm>
      </xdr:grpSpPr>
      <xdr:pic macro="[0]!Sheet10.addRow_DtlsSalPdBftsPayeDedFrmDsblEmp_List">
        <xdr:nvPicPr>
          <xdr:cNvPr id="5223" name="Picture 5">
            <a:extLst>
              <a:ext uri="{FF2B5EF4-FFF2-40B4-BE49-F238E27FC236}">
                <a16:creationId xmlns:a16="http://schemas.microsoft.com/office/drawing/2014/main" id="{5701A5E2-0C61-7F9C-5C2E-AFCED7B3C0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2950" y="2657475"/>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5224" name="Picture 6">
            <a:extLst>
              <a:ext uri="{FF2B5EF4-FFF2-40B4-BE49-F238E27FC236}">
                <a16:creationId xmlns:a16="http://schemas.microsoft.com/office/drawing/2014/main" id="{A9F0ABA8-7E15-1729-A346-D807D3A5DF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8808"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5225" name="Picture 7">
            <a:extLst>
              <a:ext uri="{FF2B5EF4-FFF2-40B4-BE49-F238E27FC236}">
                <a16:creationId xmlns:a16="http://schemas.microsoft.com/office/drawing/2014/main" id="{1541B0E0-F97C-5FF7-73ED-2C467F7D50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52950"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SalPdBftsPayeDedFrmDsblEmp_List">
        <xdr:nvPicPr>
          <xdr:cNvPr id="5226" name="Picture 9">
            <a:extLst>
              <a:ext uri="{FF2B5EF4-FFF2-40B4-BE49-F238E27FC236}">
                <a16:creationId xmlns:a16="http://schemas.microsoft.com/office/drawing/2014/main" id="{0554F324-1089-53A4-6AFC-23B2EB72585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808" y="2666409"/>
            <a:ext cx="913917" cy="347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962025</xdr:colOff>
      <xdr:row>5</xdr:row>
      <xdr:rowOff>104775</xdr:rowOff>
    </xdr:from>
    <xdr:to>
      <xdr:col>3</xdr:col>
      <xdr:colOff>1114425</xdr:colOff>
      <xdr:row>6</xdr:row>
      <xdr:rowOff>400050</xdr:rowOff>
    </xdr:to>
    <xdr:grpSp>
      <xdr:nvGrpSpPr>
        <xdr:cNvPr id="6245" name="Group 1">
          <a:extLst>
            <a:ext uri="{FF2B5EF4-FFF2-40B4-BE49-F238E27FC236}">
              <a16:creationId xmlns:a16="http://schemas.microsoft.com/office/drawing/2014/main" id="{962C3676-743D-F433-10B9-541215E1B5D3}"/>
            </a:ext>
          </a:extLst>
        </xdr:cNvPr>
        <xdr:cNvGrpSpPr>
          <a:grpSpLocks/>
        </xdr:cNvGrpSpPr>
      </xdr:nvGrpSpPr>
      <xdr:grpSpPr bwMode="auto">
        <a:xfrm>
          <a:off x="4657725" y="1581150"/>
          <a:ext cx="2000250" cy="771525"/>
          <a:chOff x="4657725" y="1514475"/>
          <a:chExt cx="2009775" cy="771525"/>
        </a:xfrm>
      </xdr:grpSpPr>
      <xdr:pic macro="[0]!Sheet5.addRow_CarBenefit_List">
        <xdr:nvPicPr>
          <xdr:cNvPr id="6251" name="Picture 5">
            <a:extLst>
              <a:ext uri="{FF2B5EF4-FFF2-40B4-BE49-F238E27FC236}">
                <a16:creationId xmlns:a16="http://schemas.microsoft.com/office/drawing/2014/main" id="{C25C69FE-55B7-55DA-BA47-5605472420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51447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6252" name="Picture 6">
            <a:extLst>
              <a:ext uri="{FF2B5EF4-FFF2-40B4-BE49-F238E27FC236}">
                <a16:creationId xmlns:a16="http://schemas.microsoft.com/office/drawing/2014/main" id="{CE49B7DD-7B03-012B-E48C-574503CF68D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53583"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6253" name="Picture 7">
            <a:extLst>
              <a:ext uri="{FF2B5EF4-FFF2-40B4-BE49-F238E27FC236}">
                <a16:creationId xmlns:a16="http://schemas.microsoft.com/office/drawing/2014/main" id="{004142D9-9D08-3772-AAE6-542FA75CF26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57725"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CarBenefit_List">
        <xdr:nvPicPr>
          <xdr:cNvPr id="6254" name="Picture 9">
            <a:extLst>
              <a:ext uri="{FF2B5EF4-FFF2-40B4-BE49-F238E27FC236}">
                <a16:creationId xmlns:a16="http://schemas.microsoft.com/office/drawing/2014/main" id="{6929D61C-DF40-B803-425D-38327605C2A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24031"/>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962025</xdr:colOff>
      <xdr:row>5</xdr:row>
      <xdr:rowOff>104775</xdr:rowOff>
    </xdr:from>
    <xdr:to>
      <xdr:col>3</xdr:col>
      <xdr:colOff>1114425</xdr:colOff>
      <xdr:row>6</xdr:row>
      <xdr:rowOff>400050</xdr:rowOff>
    </xdr:to>
    <xdr:grpSp>
      <xdr:nvGrpSpPr>
        <xdr:cNvPr id="6246" name="Group 1">
          <a:extLst>
            <a:ext uri="{FF2B5EF4-FFF2-40B4-BE49-F238E27FC236}">
              <a16:creationId xmlns:a16="http://schemas.microsoft.com/office/drawing/2014/main" id="{D472C12C-909E-07C4-1F1D-CA3CD12C4419}"/>
            </a:ext>
          </a:extLst>
        </xdr:cNvPr>
        <xdr:cNvGrpSpPr>
          <a:grpSpLocks/>
        </xdr:cNvGrpSpPr>
      </xdr:nvGrpSpPr>
      <xdr:grpSpPr bwMode="auto">
        <a:xfrm>
          <a:off x="4657725" y="1581150"/>
          <a:ext cx="2000250" cy="771525"/>
          <a:chOff x="4657725" y="1514475"/>
          <a:chExt cx="2009775" cy="771525"/>
        </a:xfrm>
      </xdr:grpSpPr>
      <xdr:pic macro="[0]!Sheet5.addRow_CarBenefit_List">
        <xdr:nvPicPr>
          <xdr:cNvPr id="6247" name="Picture 5">
            <a:extLst>
              <a:ext uri="{FF2B5EF4-FFF2-40B4-BE49-F238E27FC236}">
                <a16:creationId xmlns:a16="http://schemas.microsoft.com/office/drawing/2014/main" id="{6107338C-CC9D-E93B-B0E8-58C3D437FB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51447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6248" name="Picture 6">
            <a:extLst>
              <a:ext uri="{FF2B5EF4-FFF2-40B4-BE49-F238E27FC236}">
                <a16:creationId xmlns:a16="http://schemas.microsoft.com/office/drawing/2014/main" id="{D18E28A0-3C53-5985-73B0-6806CE79E4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53583"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6249" name="Picture 7">
            <a:extLst>
              <a:ext uri="{FF2B5EF4-FFF2-40B4-BE49-F238E27FC236}">
                <a16:creationId xmlns:a16="http://schemas.microsoft.com/office/drawing/2014/main" id="{833220B7-A0FE-5136-3155-6F796EA5531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57725"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CarBenefit_List">
        <xdr:nvPicPr>
          <xdr:cNvPr id="6250" name="Picture 9">
            <a:extLst>
              <a:ext uri="{FF2B5EF4-FFF2-40B4-BE49-F238E27FC236}">
                <a16:creationId xmlns:a16="http://schemas.microsoft.com/office/drawing/2014/main" id="{D844FC45-63D7-FE02-3489-F091540AC1D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24031"/>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962025</xdr:colOff>
      <xdr:row>5</xdr:row>
      <xdr:rowOff>85725</xdr:rowOff>
    </xdr:from>
    <xdr:to>
      <xdr:col>3</xdr:col>
      <xdr:colOff>1114425</xdr:colOff>
      <xdr:row>6</xdr:row>
      <xdr:rowOff>381000</xdr:rowOff>
    </xdr:to>
    <xdr:grpSp>
      <xdr:nvGrpSpPr>
        <xdr:cNvPr id="7269" name="Group 1">
          <a:extLst>
            <a:ext uri="{FF2B5EF4-FFF2-40B4-BE49-F238E27FC236}">
              <a16:creationId xmlns:a16="http://schemas.microsoft.com/office/drawing/2014/main" id="{251D356E-C554-5875-159A-BCB3DD0AEEDA}"/>
            </a:ext>
          </a:extLst>
        </xdr:cNvPr>
        <xdr:cNvGrpSpPr>
          <a:grpSpLocks/>
        </xdr:cNvGrpSpPr>
      </xdr:nvGrpSpPr>
      <xdr:grpSpPr bwMode="auto">
        <a:xfrm>
          <a:off x="4657725" y="1543050"/>
          <a:ext cx="2000250" cy="771525"/>
          <a:chOff x="4657725" y="1495425"/>
          <a:chExt cx="2009775" cy="771525"/>
        </a:xfrm>
      </xdr:grpSpPr>
      <xdr:pic macro="[0]!Sheet13.addRow_InsReliefDtls_List">
        <xdr:nvPicPr>
          <xdr:cNvPr id="7275" name="Picture 5">
            <a:extLst>
              <a:ext uri="{FF2B5EF4-FFF2-40B4-BE49-F238E27FC236}">
                <a16:creationId xmlns:a16="http://schemas.microsoft.com/office/drawing/2014/main" id="{A44D2AE7-B8DE-D8A5-3DA4-680912F0E1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49542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7276" name="Picture 7">
            <a:extLst>
              <a:ext uri="{FF2B5EF4-FFF2-40B4-BE49-F238E27FC236}">
                <a16:creationId xmlns:a16="http://schemas.microsoft.com/office/drawing/2014/main" id="{DDC87AD4-2599-7BE6-68C1-0F5FAD8450F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57725" y="192419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7277" name="Picture 6">
            <a:extLst>
              <a:ext uri="{FF2B5EF4-FFF2-40B4-BE49-F238E27FC236}">
                <a16:creationId xmlns:a16="http://schemas.microsoft.com/office/drawing/2014/main" id="{E3A8F4C5-7A65-F976-1636-D01B3C7997D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53583" y="1924191"/>
            <a:ext cx="913917" cy="3427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InsReliefDtls_List">
        <xdr:nvPicPr>
          <xdr:cNvPr id="7278" name="Picture 9">
            <a:extLst>
              <a:ext uri="{FF2B5EF4-FFF2-40B4-BE49-F238E27FC236}">
                <a16:creationId xmlns:a16="http://schemas.microsoft.com/office/drawing/2014/main" id="{74076B12-9F40-D6E3-EFC0-A8294586129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04981"/>
            <a:ext cx="913917" cy="3472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962025</xdr:colOff>
      <xdr:row>5</xdr:row>
      <xdr:rowOff>85725</xdr:rowOff>
    </xdr:from>
    <xdr:to>
      <xdr:col>3</xdr:col>
      <xdr:colOff>1114425</xdr:colOff>
      <xdr:row>6</xdr:row>
      <xdr:rowOff>381000</xdr:rowOff>
    </xdr:to>
    <xdr:grpSp>
      <xdr:nvGrpSpPr>
        <xdr:cNvPr id="7270" name="Group 1">
          <a:extLst>
            <a:ext uri="{FF2B5EF4-FFF2-40B4-BE49-F238E27FC236}">
              <a16:creationId xmlns:a16="http://schemas.microsoft.com/office/drawing/2014/main" id="{E92BBD49-04C2-6AAB-A198-4E252D9FD6A8}"/>
            </a:ext>
          </a:extLst>
        </xdr:cNvPr>
        <xdr:cNvGrpSpPr>
          <a:grpSpLocks/>
        </xdr:cNvGrpSpPr>
      </xdr:nvGrpSpPr>
      <xdr:grpSpPr bwMode="auto">
        <a:xfrm>
          <a:off x="4657725" y="1543050"/>
          <a:ext cx="2000250" cy="771525"/>
          <a:chOff x="4657725" y="1495425"/>
          <a:chExt cx="2009775" cy="771525"/>
        </a:xfrm>
      </xdr:grpSpPr>
      <xdr:pic macro="[0]!Sheet13.addRow_InsReliefDtls_List">
        <xdr:nvPicPr>
          <xdr:cNvPr id="7271" name="Picture 5">
            <a:extLst>
              <a:ext uri="{FF2B5EF4-FFF2-40B4-BE49-F238E27FC236}">
                <a16:creationId xmlns:a16="http://schemas.microsoft.com/office/drawing/2014/main" id="{2C697686-DC18-3A81-D74B-E5466FFBF3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49542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7272" name="Picture 7">
            <a:extLst>
              <a:ext uri="{FF2B5EF4-FFF2-40B4-BE49-F238E27FC236}">
                <a16:creationId xmlns:a16="http://schemas.microsoft.com/office/drawing/2014/main" id="{5FC4F4AC-FE06-7471-549F-7270A7887EF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57725" y="192419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7273" name="Picture 6">
            <a:extLst>
              <a:ext uri="{FF2B5EF4-FFF2-40B4-BE49-F238E27FC236}">
                <a16:creationId xmlns:a16="http://schemas.microsoft.com/office/drawing/2014/main" id="{63F43FF8-2E43-0D0C-3475-B9B9B0EF392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53583" y="1924191"/>
            <a:ext cx="913917" cy="3427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InsReliefDtls_List">
        <xdr:nvPicPr>
          <xdr:cNvPr id="7274" name="Picture 9">
            <a:extLst>
              <a:ext uri="{FF2B5EF4-FFF2-40B4-BE49-F238E27FC236}">
                <a16:creationId xmlns:a16="http://schemas.microsoft.com/office/drawing/2014/main" id="{F4D1F395-3064-938E-7779-070EE805B05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04981"/>
            <a:ext cx="913917" cy="3472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1038225</xdr:colOff>
      <xdr:row>5</xdr:row>
      <xdr:rowOff>114300</xdr:rowOff>
    </xdr:from>
    <xdr:to>
      <xdr:col>3</xdr:col>
      <xdr:colOff>1200150</xdr:colOff>
      <xdr:row>6</xdr:row>
      <xdr:rowOff>409575</xdr:rowOff>
    </xdr:to>
    <xdr:grpSp>
      <xdr:nvGrpSpPr>
        <xdr:cNvPr id="8293" name="Group 1">
          <a:extLst>
            <a:ext uri="{FF2B5EF4-FFF2-40B4-BE49-F238E27FC236}">
              <a16:creationId xmlns:a16="http://schemas.microsoft.com/office/drawing/2014/main" id="{D6441710-875D-411C-54BC-E38B636E1550}"/>
            </a:ext>
          </a:extLst>
        </xdr:cNvPr>
        <xdr:cNvGrpSpPr>
          <a:grpSpLocks/>
        </xdr:cNvGrpSpPr>
      </xdr:nvGrpSpPr>
      <xdr:grpSpPr bwMode="auto">
        <a:xfrm>
          <a:off x="4733925" y="2228850"/>
          <a:ext cx="2009775" cy="771525"/>
          <a:chOff x="4733925" y="2171700"/>
          <a:chExt cx="2009172" cy="771525"/>
        </a:xfrm>
      </xdr:grpSpPr>
      <xdr:pic macro="[0]!Sheet14.addRow_TaxPdOnLumpSumPdAftrTrmtn_List">
        <xdr:nvPicPr>
          <xdr:cNvPr id="8299" name="Picture 5">
            <a:extLst>
              <a:ext uri="{FF2B5EF4-FFF2-40B4-BE49-F238E27FC236}">
                <a16:creationId xmlns:a16="http://schemas.microsoft.com/office/drawing/2014/main" id="{1966879F-2DD5-72D2-B3AF-DCAF89BBC1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21717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8300" name="Picture 6">
            <a:extLst>
              <a:ext uri="{FF2B5EF4-FFF2-40B4-BE49-F238E27FC236}">
                <a16:creationId xmlns:a16="http://schemas.microsoft.com/office/drawing/2014/main" id="{B8103FF3-2EAD-14DF-D6D8-143C2DD2012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8301" name="Picture 7">
            <a:extLst>
              <a:ext uri="{FF2B5EF4-FFF2-40B4-BE49-F238E27FC236}">
                <a16:creationId xmlns:a16="http://schemas.microsoft.com/office/drawing/2014/main" id="{5FA757CB-43DC-0FF1-B082-6BCF9941E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TaxPdOnLumpSumPdAftrTrmtn_List">
        <xdr:nvPicPr>
          <xdr:cNvPr id="8302" name="Picture 9">
            <a:extLst>
              <a:ext uri="{FF2B5EF4-FFF2-40B4-BE49-F238E27FC236}">
                <a16:creationId xmlns:a16="http://schemas.microsoft.com/office/drawing/2014/main" id="{09ADADAD-F99E-8245-46CB-191EB7895A6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21812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1038225</xdr:colOff>
      <xdr:row>5</xdr:row>
      <xdr:rowOff>114300</xdr:rowOff>
    </xdr:from>
    <xdr:to>
      <xdr:col>3</xdr:col>
      <xdr:colOff>1200150</xdr:colOff>
      <xdr:row>6</xdr:row>
      <xdr:rowOff>409575</xdr:rowOff>
    </xdr:to>
    <xdr:grpSp>
      <xdr:nvGrpSpPr>
        <xdr:cNvPr id="8294" name="Group 1">
          <a:extLst>
            <a:ext uri="{FF2B5EF4-FFF2-40B4-BE49-F238E27FC236}">
              <a16:creationId xmlns:a16="http://schemas.microsoft.com/office/drawing/2014/main" id="{CA1F39EE-185D-DA1E-B667-7905FCC1F84D}"/>
            </a:ext>
          </a:extLst>
        </xdr:cNvPr>
        <xdr:cNvGrpSpPr>
          <a:grpSpLocks/>
        </xdr:cNvGrpSpPr>
      </xdr:nvGrpSpPr>
      <xdr:grpSpPr bwMode="auto">
        <a:xfrm>
          <a:off x="4733925" y="2228850"/>
          <a:ext cx="2009775" cy="771525"/>
          <a:chOff x="4733925" y="2171700"/>
          <a:chExt cx="2009172" cy="771525"/>
        </a:xfrm>
      </xdr:grpSpPr>
      <xdr:pic macro="[0]!Sheet14.addRow_TaxPdOnLumpSumPdAftrTrmtn_List">
        <xdr:nvPicPr>
          <xdr:cNvPr id="8295" name="Picture 5">
            <a:extLst>
              <a:ext uri="{FF2B5EF4-FFF2-40B4-BE49-F238E27FC236}">
                <a16:creationId xmlns:a16="http://schemas.microsoft.com/office/drawing/2014/main" id="{AF4903DF-EBE2-779A-3918-EF664AF14F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21717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8296" name="Picture 6">
            <a:extLst>
              <a:ext uri="{FF2B5EF4-FFF2-40B4-BE49-F238E27FC236}">
                <a16:creationId xmlns:a16="http://schemas.microsoft.com/office/drawing/2014/main" id="{A2E5C72E-4D59-8127-45AC-D5A649D0C8F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8297" name="Picture 7">
            <a:extLst>
              <a:ext uri="{FF2B5EF4-FFF2-40B4-BE49-F238E27FC236}">
                <a16:creationId xmlns:a16="http://schemas.microsoft.com/office/drawing/2014/main" id="{49501D5A-415F-DB58-48E8-B44A0F28EB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TaxPdOnLumpSumPdAftrTrmtn_List">
        <xdr:nvPicPr>
          <xdr:cNvPr id="8298" name="Picture 9">
            <a:extLst>
              <a:ext uri="{FF2B5EF4-FFF2-40B4-BE49-F238E27FC236}">
                <a16:creationId xmlns:a16="http://schemas.microsoft.com/office/drawing/2014/main" id="{EF3A1211-2B80-EA51-4A8C-7CDEA811A33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21812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942975</xdr:colOff>
      <xdr:row>7</xdr:row>
      <xdr:rowOff>95250</xdr:rowOff>
    </xdr:from>
    <xdr:to>
      <xdr:col>3</xdr:col>
      <xdr:colOff>1104900</xdr:colOff>
      <xdr:row>8</xdr:row>
      <xdr:rowOff>390525</xdr:rowOff>
    </xdr:to>
    <xdr:grpSp>
      <xdr:nvGrpSpPr>
        <xdr:cNvPr id="9317" name="Group 1">
          <a:extLst>
            <a:ext uri="{FF2B5EF4-FFF2-40B4-BE49-F238E27FC236}">
              <a16:creationId xmlns:a16="http://schemas.microsoft.com/office/drawing/2014/main" id="{5425C501-90BF-FC89-9BAC-D47CB2006B11}"/>
            </a:ext>
          </a:extLst>
        </xdr:cNvPr>
        <xdr:cNvGrpSpPr>
          <a:grpSpLocks/>
        </xdr:cNvGrpSpPr>
      </xdr:nvGrpSpPr>
      <xdr:grpSpPr bwMode="auto">
        <a:xfrm>
          <a:off x="4638675" y="2943225"/>
          <a:ext cx="2009775" cy="771525"/>
          <a:chOff x="4638675" y="2667000"/>
          <a:chExt cx="2009775" cy="771525"/>
        </a:xfrm>
      </xdr:grpSpPr>
      <xdr:pic macro="[0]!Sheet15.addRow_DtlsArrSalPdBftsPayeDedFrmEmp_List">
        <xdr:nvPicPr>
          <xdr:cNvPr id="9323" name="Picture 5">
            <a:extLst>
              <a:ext uri="{FF2B5EF4-FFF2-40B4-BE49-F238E27FC236}">
                <a16:creationId xmlns:a16="http://schemas.microsoft.com/office/drawing/2014/main" id="{412E529E-9FA6-9CE3-65CC-6591698490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8675"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9324" name="Picture 6">
            <a:extLst>
              <a:ext uri="{FF2B5EF4-FFF2-40B4-BE49-F238E27FC236}">
                <a16:creationId xmlns:a16="http://schemas.microsoft.com/office/drawing/2014/main" id="{5F964EB9-2A41-59BB-F835-20717BA25C7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34313"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9325" name="Picture 7">
            <a:extLst>
              <a:ext uri="{FF2B5EF4-FFF2-40B4-BE49-F238E27FC236}">
                <a16:creationId xmlns:a16="http://schemas.microsoft.com/office/drawing/2014/main" id="{EAF98B1A-3CC9-2E8D-BE23-BB87A061C0F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8675"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Emp_List">
        <xdr:nvPicPr>
          <xdr:cNvPr id="9326" name="Picture 9">
            <a:extLst>
              <a:ext uri="{FF2B5EF4-FFF2-40B4-BE49-F238E27FC236}">
                <a16:creationId xmlns:a16="http://schemas.microsoft.com/office/drawing/2014/main" id="{3C7A11B1-2788-7403-9C24-256ED0F2272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34313"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942975</xdr:colOff>
      <xdr:row>7</xdr:row>
      <xdr:rowOff>95250</xdr:rowOff>
    </xdr:from>
    <xdr:to>
      <xdr:col>3</xdr:col>
      <xdr:colOff>1104900</xdr:colOff>
      <xdr:row>8</xdr:row>
      <xdr:rowOff>390525</xdr:rowOff>
    </xdr:to>
    <xdr:grpSp>
      <xdr:nvGrpSpPr>
        <xdr:cNvPr id="9318" name="Group 1">
          <a:extLst>
            <a:ext uri="{FF2B5EF4-FFF2-40B4-BE49-F238E27FC236}">
              <a16:creationId xmlns:a16="http://schemas.microsoft.com/office/drawing/2014/main" id="{0D3B972A-90FF-C6A2-C922-40F0B90ABE7E}"/>
            </a:ext>
          </a:extLst>
        </xdr:cNvPr>
        <xdr:cNvGrpSpPr>
          <a:grpSpLocks/>
        </xdr:cNvGrpSpPr>
      </xdr:nvGrpSpPr>
      <xdr:grpSpPr bwMode="auto">
        <a:xfrm>
          <a:off x="4638675" y="2943225"/>
          <a:ext cx="2009775" cy="771525"/>
          <a:chOff x="4638675" y="2667000"/>
          <a:chExt cx="2009775" cy="771525"/>
        </a:xfrm>
      </xdr:grpSpPr>
      <xdr:pic macro="[0]!Sheet15.addRow_DtlsArrSalPdBftsPayeDedFrmEmp_List">
        <xdr:nvPicPr>
          <xdr:cNvPr id="9319" name="Picture 5">
            <a:extLst>
              <a:ext uri="{FF2B5EF4-FFF2-40B4-BE49-F238E27FC236}">
                <a16:creationId xmlns:a16="http://schemas.microsoft.com/office/drawing/2014/main" id="{1BCEA4C6-3054-D84A-B98B-9F8EA76900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8675"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9320" name="Picture 6">
            <a:extLst>
              <a:ext uri="{FF2B5EF4-FFF2-40B4-BE49-F238E27FC236}">
                <a16:creationId xmlns:a16="http://schemas.microsoft.com/office/drawing/2014/main" id="{F6EDB097-A73A-D946-F3A4-DECFD8E7A13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34313"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9321" name="Picture 7">
            <a:extLst>
              <a:ext uri="{FF2B5EF4-FFF2-40B4-BE49-F238E27FC236}">
                <a16:creationId xmlns:a16="http://schemas.microsoft.com/office/drawing/2014/main" id="{49064A21-64F7-E069-1C2D-F5FD68183F5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8675"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Emp_List">
        <xdr:nvPicPr>
          <xdr:cNvPr id="9322" name="Picture 9">
            <a:extLst>
              <a:ext uri="{FF2B5EF4-FFF2-40B4-BE49-F238E27FC236}">
                <a16:creationId xmlns:a16="http://schemas.microsoft.com/office/drawing/2014/main" id="{1A901D0F-EF59-F5D3-D350-D26203DAB8A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34313"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1009650</xdr:colOff>
      <xdr:row>7</xdr:row>
      <xdr:rowOff>95250</xdr:rowOff>
    </xdr:from>
    <xdr:to>
      <xdr:col>3</xdr:col>
      <xdr:colOff>1171575</xdr:colOff>
      <xdr:row>8</xdr:row>
      <xdr:rowOff>390525</xdr:rowOff>
    </xdr:to>
    <xdr:grpSp>
      <xdr:nvGrpSpPr>
        <xdr:cNvPr id="10341" name="Group 1">
          <a:extLst>
            <a:ext uri="{FF2B5EF4-FFF2-40B4-BE49-F238E27FC236}">
              <a16:creationId xmlns:a16="http://schemas.microsoft.com/office/drawing/2014/main" id="{A0AD951D-9AAD-FC5F-C31D-4FA88E447FAB}"/>
            </a:ext>
          </a:extLst>
        </xdr:cNvPr>
        <xdr:cNvGrpSpPr>
          <a:grpSpLocks/>
        </xdr:cNvGrpSpPr>
      </xdr:nvGrpSpPr>
      <xdr:grpSpPr bwMode="auto">
        <a:xfrm>
          <a:off x="4705350" y="2933700"/>
          <a:ext cx="2009775" cy="771525"/>
          <a:chOff x="4705350" y="2667000"/>
          <a:chExt cx="2009775" cy="771525"/>
        </a:xfrm>
      </xdr:grpSpPr>
      <xdr:pic macro="[0]!Sheet16.addRow_DtlsArrSalPdBftsPayeDedFrmDsblEmp_List">
        <xdr:nvPicPr>
          <xdr:cNvPr id="10347" name="Picture 5">
            <a:extLst>
              <a:ext uri="{FF2B5EF4-FFF2-40B4-BE49-F238E27FC236}">
                <a16:creationId xmlns:a16="http://schemas.microsoft.com/office/drawing/2014/main" id="{CD0C0A12-6A72-74C2-919A-5DBFA4271C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5350"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0348" name="Picture 6">
            <a:extLst>
              <a:ext uri="{FF2B5EF4-FFF2-40B4-BE49-F238E27FC236}">
                <a16:creationId xmlns:a16="http://schemas.microsoft.com/office/drawing/2014/main" id="{798AB8BB-605A-C7EF-6788-230E8848EB5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00988"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0349" name="Picture 7">
            <a:extLst>
              <a:ext uri="{FF2B5EF4-FFF2-40B4-BE49-F238E27FC236}">
                <a16:creationId xmlns:a16="http://schemas.microsoft.com/office/drawing/2014/main" id="{115337CC-7891-C7FA-28BE-5ECD3679418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05350"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DsblEmp_List">
        <xdr:nvPicPr>
          <xdr:cNvPr id="10350" name="Picture 9">
            <a:extLst>
              <a:ext uri="{FF2B5EF4-FFF2-40B4-BE49-F238E27FC236}">
                <a16:creationId xmlns:a16="http://schemas.microsoft.com/office/drawing/2014/main" id="{D3026B08-8F49-AD8A-31C1-CA87C6F680B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00988"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1009650</xdr:colOff>
      <xdr:row>7</xdr:row>
      <xdr:rowOff>95250</xdr:rowOff>
    </xdr:from>
    <xdr:to>
      <xdr:col>3</xdr:col>
      <xdr:colOff>1171575</xdr:colOff>
      <xdr:row>8</xdr:row>
      <xdr:rowOff>390525</xdr:rowOff>
    </xdr:to>
    <xdr:grpSp>
      <xdr:nvGrpSpPr>
        <xdr:cNvPr id="10342" name="Group 1">
          <a:extLst>
            <a:ext uri="{FF2B5EF4-FFF2-40B4-BE49-F238E27FC236}">
              <a16:creationId xmlns:a16="http://schemas.microsoft.com/office/drawing/2014/main" id="{C7E86F16-A0E9-2471-9C4C-17917A7B80BA}"/>
            </a:ext>
          </a:extLst>
        </xdr:cNvPr>
        <xdr:cNvGrpSpPr>
          <a:grpSpLocks/>
        </xdr:cNvGrpSpPr>
      </xdr:nvGrpSpPr>
      <xdr:grpSpPr bwMode="auto">
        <a:xfrm>
          <a:off x="4705350" y="2933700"/>
          <a:ext cx="2009775" cy="771525"/>
          <a:chOff x="4705350" y="2667000"/>
          <a:chExt cx="2009775" cy="771525"/>
        </a:xfrm>
      </xdr:grpSpPr>
      <xdr:pic macro="[0]!Sheet16.addRow_DtlsArrSalPdBftsPayeDedFrmDsblEmp_List">
        <xdr:nvPicPr>
          <xdr:cNvPr id="10343" name="Picture 5">
            <a:extLst>
              <a:ext uri="{FF2B5EF4-FFF2-40B4-BE49-F238E27FC236}">
                <a16:creationId xmlns:a16="http://schemas.microsoft.com/office/drawing/2014/main" id="{D1FF015C-35F3-C170-BAC6-C94FECCE91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5350"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0344" name="Picture 6">
            <a:extLst>
              <a:ext uri="{FF2B5EF4-FFF2-40B4-BE49-F238E27FC236}">
                <a16:creationId xmlns:a16="http://schemas.microsoft.com/office/drawing/2014/main" id="{2D1DD127-91F7-06B0-5038-E1C2306A4E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00988"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0345" name="Picture 7">
            <a:extLst>
              <a:ext uri="{FF2B5EF4-FFF2-40B4-BE49-F238E27FC236}">
                <a16:creationId xmlns:a16="http://schemas.microsoft.com/office/drawing/2014/main" id="{94AB8093-C37C-01A1-6811-45379EEEF2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05350"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DsblEmp_List">
        <xdr:nvPicPr>
          <xdr:cNvPr id="10346" name="Picture 9">
            <a:extLst>
              <a:ext uri="{FF2B5EF4-FFF2-40B4-BE49-F238E27FC236}">
                <a16:creationId xmlns:a16="http://schemas.microsoft.com/office/drawing/2014/main" id="{752F665A-5725-7B02-4864-6872988A822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00988"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1600200</xdr:colOff>
      <xdr:row>5</xdr:row>
      <xdr:rowOff>314325</xdr:rowOff>
    </xdr:from>
    <xdr:to>
      <xdr:col>3</xdr:col>
      <xdr:colOff>666750</xdr:colOff>
      <xdr:row>6</xdr:row>
      <xdr:rowOff>190500</xdr:rowOff>
    </xdr:to>
    <xdr:pic macro="[0]!Sheet18.addRow_CalPayeTaxPyblOnGratI_List">
      <xdr:nvPicPr>
        <xdr:cNvPr id="11325" name="Picture 5">
          <a:extLst>
            <a:ext uri="{FF2B5EF4-FFF2-40B4-BE49-F238E27FC236}">
              <a16:creationId xmlns:a16="http://schemas.microsoft.com/office/drawing/2014/main" id="{607FE785-963D-94A2-B8E0-42D8616FF5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1790700"/>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342900</xdr:colOff>
      <xdr:row>11</xdr:row>
      <xdr:rowOff>314325</xdr:rowOff>
    </xdr:from>
    <xdr:to>
      <xdr:col>3</xdr:col>
      <xdr:colOff>1247775</xdr:colOff>
      <xdr:row>12</xdr:row>
      <xdr:rowOff>276225</xdr:rowOff>
    </xdr:to>
    <xdr:pic macro="[0]!findNext_sheet">
      <xdr:nvPicPr>
        <xdr:cNvPr id="11326" name="Picture 6">
          <a:extLst>
            <a:ext uri="{FF2B5EF4-FFF2-40B4-BE49-F238E27FC236}">
              <a16:creationId xmlns:a16="http://schemas.microsoft.com/office/drawing/2014/main" id="{EBB40EB3-0FB7-A9B5-BAC9-AF8AE0A0B99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86450" y="4191000"/>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1095375</xdr:colOff>
      <xdr:row>11</xdr:row>
      <xdr:rowOff>314325</xdr:rowOff>
    </xdr:from>
    <xdr:to>
      <xdr:col>3</xdr:col>
      <xdr:colOff>161925</xdr:colOff>
      <xdr:row>12</xdr:row>
      <xdr:rowOff>276225</xdr:rowOff>
    </xdr:to>
    <xdr:pic macro="[0]!findPrev_sheet">
      <xdr:nvPicPr>
        <xdr:cNvPr id="11327" name="Picture 7">
          <a:extLst>
            <a:ext uri="{FF2B5EF4-FFF2-40B4-BE49-F238E27FC236}">
              <a16:creationId xmlns:a16="http://schemas.microsoft.com/office/drawing/2014/main" id="{F66EF178-10CD-2728-581C-7683B9956D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91075"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1600200</xdr:colOff>
      <xdr:row>5</xdr:row>
      <xdr:rowOff>314325</xdr:rowOff>
    </xdr:from>
    <xdr:to>
      <xdr:col>3</xdr:col>
      <xdr:colOff>666750</xdr:colOff>
      <xdr:row>6</xdr:row>
      <xdr:rowOff>190500</xdr:rowOff>
    </xdr:to>
    <xdr:pic macro="[0]!Sheet18.addRow_CalPayeTaxPyblOnGratI_List">
      <xdr:nvPicPr>
        <xdr:cNvPr id="11328" name="Picture 5">
          <a:extLst>
            <a:ext uri="{FF2B5EF4-FFF2-40B4-BE49-F238E27FC236}">
              <a16:creationId xmlns:a16="http://schemas.microsoft.com/office/drawing/2014/main" id="{2B2975D4-80D2-011A-6AB1-AC022C184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1790700"/>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342900</xdr:colOff>
      <xdr:row>11</xdr:row>
      <xdr:rowOff>314325</xdr:rowOff>
    </xdr:from>
    <xdr:to>
      <xdr:col>3</xdr:col>
      <xdr:colOff>1247775</xdr:colOff>
      <xdr:row>12</xdr:row>
      <xdr:rowOff>276225</xdr:rowOff>
    </xdr:to>
    <xdr:pic macro="[0]!findNext_sheet">
      <xdr:nvPicPr>
        <xdr:cNvPr id="11329" name="Picture 6">
          <a:extLst>
            <a:ext uri="{FF2B5EF4-FFF2-40B4-BE49-F238E27FC236}">
              <a16:creationId xmlns:a16="http://schemas.microsoft.com/office/drawing/2014/main" id="{71EDCE66-14F2-02A6-941A-72279826E8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86450" y="4191000"/>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1095375</xdr:colOff>
      <xdr:row>11</xdr:row>
      <xdr:rowOff>314325</xdr:rowOff>
    </xdr:from>
    <xdr:to>
      <xdr:col>3</xdr:col>
      <xdr:colOff>161925</xdr:colOff>
      <xdr:row>12</xdr:row>
      <xdr:rowOff>276225</xdr:rowOff>
    </xdr:to>
    <xdr:pic macro="[0]!findPrev_sheet">
      <xdr:nvPicPr>
        <xdr:cNvPr id="11330" name="Picture 7">
          <a:extLst>
            <a:ext uri="{FF2B5EF4-FFF2-40B4-BE49-F238E27FC236}">
              <a16:creationId xmlns:a16="http://schemas.microsoft.com/office/drawing/2014/main" id="{F130E269-981C-D9D8-DC89-4F32975C739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91075"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1038225</xdr:colOff>
      <xdr:row>5</xdr:row>
      <xdr:rowOff>95250</xdr:rowOff>
    </xdr:from>
    <xdr:to>
      <xdr:col>3</xdr:col>
      <xdr:colOff>1200150</xdr:colOff>
      <xdr:row>6</xdr:row>
      <xdr:rowOff>390525</xdr:rowOff>
    </xdr:to>
    <xdr:grpSp>
      <xdr:nvGrpSpPr>
        <xdr:cNvPr id="12389" name="Group 1">
          <a:extLst>
            <a:ext uri="{FF2B5EF4-FFF2-40B4-BE49-F238E27FC236}">
              <a16:creationId xmlns:a16="http://schemas.microsoft.com/office/drawing/2014/main" id="{B37F0291-BE24-9327-3C01-9FDDEA62D998}"/>
            </a:ext>
          </a:extLst>
        </xdr:cNvPr>
        <xdr:cNvGrpSpPr>
          <a:grpSpLocks/>
        </xdr:cNvGrpSpPr>
      </xdr:nvGrpSpPr>
      <xdr:grpSpPr bwMode="auto">
        <a:xfrm>
          <a:off x="4733925" y="1781175"/>
          <a:ext cx="2009775" cy="771525"/>
          <a:chOff x="4733925" y="1714500"/>
          <a:chExt cx="2009172" cy="771525"/>
        </a:xfrm>
      </xdr:grpSpPr>
      <xdr:pic macro="[0]!Sheet17.addRow_Sch10">
        <xdr:nvPicPr>
          <xdr:cNvPr id="12395" name="Picture 5">
            <a:extLst>
              <a:ext uri="{FF2B5EF4-FFF2-40B4-BE49-F238E27FC236}">
                <a16:creationId xmlns:a16="http://schemas.microsoft.com/office/drawing/2014/main" id="{DAFE8226-3D7D-244A-76BB-9E8ABB66BE4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17145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2396" name="Picture 6">
            <a:extLst>
              <a:ext uri="{FF2B5EF4-FFF2-40B4-BE49-F238E27FC236}">
                <a16:creationId xmlns:a16="http://schemas.microsoft.com/office/drawing/2014/main" id="{E8821536-242D-2B47-1B75-6BE5FEAE4BB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2397" name="Picture 7">
            <a:extLst>
              <a:ext uri="{FF2B5EF4-FFF2-40B4-BE49-F238E27FC236}">
                <a16:creationId xmlns:a16="http://schemas.microsoft.com/office/drawing/2014/main" id="{88A087D3-15B5-FC7A-BAEA-C0D31EE76D3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ringeBenf_TaxCalcList">
        <xdr:nvPicPr>
          <xdr:cNvPr id="12398" name="Picture 9">
            <a:extLst>
              <a:ext uri="{FF2B5EF4-FFF2-40B4-BE49-F238E27FC236}">
                <a16:creationId xmlns:a16="http://schemas.microsoft.com/office/drawing/2014/main" id="{D12228B3-DE65-776B-7A09-08CDE2F7924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17240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1038225</xdr:colOff>
      <xdr:row>5</xdr:row>
      <xdr:rowOff>95250</xdr:rowOff>
    </xdr:from>
    <xdr:to>
      <xdr:col>3</xdr:col>
      <xdr:colOff>1200150</xdr:colOff>
      <xdr:row>6</xdr:row>
      <xdr:rowOff>390525</xdr:rowOff>
    </xdr:to>
    <xdr:grpSp>
      <xdr:nvGrpSpPr>
        <xdr:cNvPr id="12390" name="Group 1">
          <a:extLst>
            <a:ext uri="{FF2B5EF4-FFF2-40B4-BE49-F238E27FC236}">
              <a16:creationId xmlns:a16="http://schemas.microsoft.com/office/drawing/2014/main" id="{D8E93038-3D83-37BD-D664-9CEAFC36FC52}"/>
            </a:ext>
          </a:extLst>
        </xdr:cNvPr>
        <xdr:cNvGrpSpPr>
          <a:grpSpLocks/>
        </xdr:cNvGrpSpPr>
      </xdr:nvGrpSpPr>
      <xdr:grpSpPr bwMode="auto">
        <a:xfrm>
          <a:off x="4733925" y="1781175"/>
          <a:ext cx="2009775" cy="771525"/>
          <a:chOff x="4733925" y="1714500"/>
          <a:chExt cx="2009172" cy="771525"/>
        </a:xfrm>
      </xdr:grpSpPr>
      <xdr:pic macro="[0]!Sheet17.addRow_Sch10">
        <xdr:nvPicPr>
          <xdr:cNvPr id="12391" name="Picture 5">
            <a:extLst>
              <a:ext uri="{FF2B5EF4-FFF2-40B4-BE49-F238E27FC236}">
                <a16:creationId xmlns:a16="http://schemas.microsoft.com/office/drawing/2014/main" id="{B3DDA74D-1C06-3CFB-03BE-8F09CD7539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17145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2392" name="Picture 6">
            <a:extLst>
              <a:ext uri="{FF2B5EF4-FFF2-40B4-BE49-F238E27FC236}">
                <a16:creationId xmlns:a16="http://schemas.microsoft.com/office/drawing/2014/main" id="{2FFF3F31-9999-EEA4-B38C-8D95E3614D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2393" name="Picture 7">
            <a:extLst>
              <a:ext uri="{FF2B5EF4-FFF2-40B4-BE49-F238E27FC236}">
                <a16:creationId xmlns:a16="http://schemas.microsoft.com/office/drawing/2014/main" id="{915370E6-BDBD-B2C0-C6FE-A64F716F438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ringeBenf_TaxCalcList">
        <xdr:nvPicPr>
          <xdr:cNvPr id="12394" name="Picture 9">
            <a:extLst>
              <a:ext uri="{FF2B5EF4-FFF2-40B4-BE49-F238E27FC236}">
                <a16:creationId xmlns:a16="http://schemas.microsoft.com/office/drawing/2014/main" id="{3BB9CFE7-6C78-6843-1F32-045836DF09E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17240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371475</xdr:colOff>
      <xdr:row>6</xdr:row>
      <xdr:rowOff>57150</xdr:rowOff>
    </xdr:from>
    <xdr:to>
      <xdr:col>1</xdr:col>
      <xdr:colOff>1276350</xdr:colOff>
      <xdr:row>6</xdr:row>
      <xdr:rowOff>409575</xdr:rowOff>
    </xdr:to>
    <xdr:pic macro="[0]!Sheet19.addRow_Sch12">
      <xdr:nvPicPr>
        <xdr:cNvPr id="13393" name="Picture 7">
          <a:extLst>
            <a:ext uri="{FF2B5EF4-FFF2-40B4-BE49-F238E27FC236}">
              <a16:creationId xmlns:a16="http://schemas.microsoft.com/office/drawing/2014/main" id="{B8359B44-FC0E-D3DE-BACE-AAA0340F08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325" y="1800225"/>
          <a:ext cx="904875"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361950</xdr:colOff>
      <xdr:row>13</xdr:row>
      <xdr:rowOff>85725</xdr:rowOff>
    </xdr:from>
    <xdr:to>
      <xdr:col>1</xdr:col>
      <xdr:colOff>1266825</xdr:colOff>
      <xdr:row>13</xdr:row>
      <xdr:rowOff>428625</xdr:rowOff>
    </xdr:to>
    <xdr:pic macro="[0]!Sheet19.addRow_SelfAss_List">
      <xdr:nvPicPr>
        <xdr:cNvPr id="13394" name="Picture 5">
          <a:extLst>
            <a:ext uri="{FF2B5EF4-FFF2-40B4-BE49-F238E27FC236}">
              <a16:creationId xmlns:a16="http://schemas.microsoft.com/office/drawing/2014/main" id="{049D3FF8-16E2-5182-F859-16A34B0ED9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3829050"/>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904875</xdr:colOff>
      <xdr:row>14</xdr:row>
      <xdr:rowOff>38100</xdr:rowOff>
    </xdr:from>
    <xdr:to>
      <xdr:col>1</xdr:col>
      <xdr:colOff>1809750</xdr:colOff>
      <xdr:row>14</xdr:row>
      <xdr:rowOff>381000</xdr:rowOff>
    </xdr:to>
    <xdr:pic macro="[0]!findNext_sheet">
      <xdr:nvPicPr>
        <xdr:cNvPr id="13395" name="Picture 6">
          <a:extLst>
            <a:ext uri="{FF2B5EF4-FFF2-40B4-BE49-F238E27FC236}">
              <a16:creationId xmlns:a16="http://schemas.microsoft.com/office/drawing/2014/main" id="{5A395F7C-6DD4-718B-87AB-6E91A344604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52725" y="425767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1666875</xdr:colOff>
      <xdr:row>14</xdr:row>
      <xdr:rowOff>38100</xdr:rowOff>
    </xdr:from>
    <xdr:to>
      <xdr:col>1</xdr:col>
      <xdr:colOff>733425</xdr:colOff>
      <xdr:row>14</xdr:row>
      <xdr:rowOff>381000</xdr:rowOff>
    </xdr:to>
    <xdr:pic macro="[0]!findPrev_sheet">
      <xdr:nvPicPr>
        <xdr:cNvPr id="13396" name="Picture 7">
          <a:extLst>
            <a:ext uri="{FF2B5EF4-FFF2-40B4-BE49-F238E27FC236}">
              <a16:creationId xmlns:a16="http://schemas.microsoft.com/office/drawing/2014/main" id="{0C9E5201-6A12-8E16-408E-9D423B83A85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66875"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371475</xdr:colOff>
      <xdr:row>6</xdr:row>
      <xdr:rowOff>57150</xdr:rowOff>
    </xdr:from>
    <xdr:to>
      <xdr:col>1</xdr:col>
      <xdr:colOff>1276350</xdr:colOff>
      <xdr:row>6</xdr:row>
      <xdr:rowOff>409575</xdr:rowOff>
    </xdr:to>
    <xdr:pic macro="[0]!Sheet19.addRow_Sch12">
      <xdr:nvPicPr>
        <xdr:cNvPr id="13397" name="Picture 7">
          <a:extLst>
            <a:ext uri="{FF2B5EF4-FFF2-40B4-BE49-F238E27FC236}">
              <a16:creationId xmlns:a16="http://schemas.microsoft.com/office/drawing/2014/main" id="{74926CFA-2A13-8180-79C0-230D935AD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325" y="1800225"/>
          <a:ext cx="904875"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361950</xdr:colOff>
      <xdr:row>13</xdr:row>
      <xdr:rowOff>85725</xdr:rowOff>
    </xdr:from>
    <xdr:to>
      <xdr:col>1</xdr:col>
      <xdr:colOff>1266825</xdr:colOff>
      <xdr:row>13</xdr:row>
      <xdr:rowOff>428625</xdr:rowOff>
    </xdr:to>
    <xdr:pic macro="[0]!Sheet19.addRow_SelfAss_List">
      <xdr:nvPicPr>
        <xdr:cNvPr id="13398" name="Picture 5">
          <a:extLst>
            <a:ext uri="{FF2B5EF4-FFF2-40B4-BE49-F238E27FC236}">
              <a16:creationId xmlns:a16="http://schemas.microsoft.com/office/drawing/2014/main" id="{237DB866-9E60-765C-DCC2-64504B4BE5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3829050"/>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904875</xdr:colOff>
      <xdr:row>14</xdr:row>
      <xdr:rowOff>38100</xdr:rowOff>
    </xdr:from>
    <xdr:to>
      <xdr:col>1</xdr:col>
      <xdr:colOff>1809750</xdr:colOff>
      <xdr:row>14</xdr:row>
      <xdr:rowOff>381000</xdr:rowOff>
    </xdr:to>
    <xdr:pic macro="[0]!findNext_sheet">
      <xdr:nvPicPr>
        <xdr:cNvPr id="13399" name="Picture 6">
          <a:extLst>
            <a:ext uri="{FF2B5EF4-FFF2-40B4-BE49-F238E27FC236}">
              <a16:creationId xmlns:a16="http://schemas.microsoft.com/office/drawing/2014/main" id="{4BB1CDFC-CBF1-B1C2-B2A9-E94CE0D0E6E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52725" y="425767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1666875</xdr:colOff>
      <xdr:row>14</xdr:row>
      <xdr:rowOff>38100</xdr:rowOff>
    </xdr:from>
    <xdr:to>
      <xdr:col>1</xdr:col>
      <xdr:colOff>733425</xdr:colOff>
      <xdr:row>14</xdr:row>
      <xdr:rowOff>381000</xdr:rowOff>
    </xdr:to>
    <xdr:pic macro="[0]!findPrev_sheet">
      <xdr:nvPicPr>
        <xdr:cNvPr id="13400" name="Picture 7">
          <a:extLst>
            <a:ext uri="{FF2B5EF4-FFF2-40B4-BE49-F238E27FC236}">
              <a16:creationId xmlns:a16="http://schemas.microsoft.com/office/drawing/2014/main" id="{C6DAF34C-9A26-EB8F-7D6B-9C1168AF03F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66875"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704850</xdr:colOff>
      <xdr:row>5</xdr:row>
      <xdr:rowOff>209550</xdr:rowOff>
    </xdr:from>
    <xdr:to>
      <xdr:col>2</xdr:col>
      <xdr:colOff>1609725</xdr:colOff>
      <xdr:row>6</xdr:row>
      <xdr:rowOff>76200</xdr:rowOff>
    </xdr:to>
    <xdr:pic macro="[0]!Sheet21.addRow_HousingLevyDtls">
      <xdr:nvPicPr>
        <xdr:cNvPr id="14377" name="Picture 5">
          <a:extLst>
            <a:ext uri="{FF2B5EF4-FFF2-40B4-BE49-F238E27FC236}">
              <a16:creationId xmlns:a16="http://schemas.microsoft.com/office/drawing/2014/main" id="{4EFCE804-65A0-28C2-3EFA-D241103D9E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00550" y="170497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5</xdr:row>
      <xdr:rowOff>228600</xdr:rowOff>
    </xdr:from>
    <xdr:to>
      <xdr:col>3</xdr:col>
      <xdr:colOff>971550</xdr:colOff>
      <xdr:row>6</xdr:row>
      <xdr:rowOff>95250</xdr:rowOff>
    </xdr:to>
    <xdr:pic macro="[0]!HousingLevyDtls_List">
      <xdr:nvPicPr>
        <xdr:cNvPr id="14378" name="Picture 9">
          <a:extLst>
            <a:ext uri="{FF2B5EF4-FFF2-40B4-BE49-F238E27FC236}">
              <a16:creationId xmlns:a16="http://schemas.microsoft.com/office/drawing/2014/main" id="{AAD166B0-EE33-8CAE-73C9-E37E34F1D39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10225" y="172402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695325</xdr:colOff>
      <xdr:row>6</xdr:row>
      <xdr:rowOff>133350</xdr:rowOff>
    </xdr:from>
    <xdr:to>
      <xdr:col>2</xdr:col>
      <xdr:colOff>1600200</xdr:colOff>
      <xdr:row>7</xdr:row>
      <xdr:rowOff>0</xdr:rowOff>
    </xdr:to>
    <xdr:pic macro="[0]!findPrev_sheet">
      <xdr:nvPicPr>
        <xdr:cNvPr id="14379" name="Picture 7">
          <a:extLst>
            <a:ext uri="{FF2B5EF4-FFF2-40B4-BE49-F238E27FC236}">
              <a16:creationId xmlns:a16="http://schemas.microsoft.com/office/drawing/2014/main" id="{C0D09700-EFBC-221B-2343-BD4C34AFD26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210502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6</xdr:row>
      <xdr:rowOff>133350</xdr:rowOff>
    </xdr:from>
    <xdr:to>
      <xdr:col>3</xdr:col>
      <xdr:colOff>971550</xdr:colOff>
      <xdr:row>7</xdr:row>
      <xdr:rowOff>0</xdr:rowOff>
    </xdr:to>
    <xdr:pic macro="[0]!findNext_sheet">
      <xdr:nvPicPr>
        <xdr:cNvPr id="14380" name="Picture 6">
          <a:extLst>
            <a:ext uri="{FF2B5EF4-FFF2-40B4-BE49-F238E27FC236}">
              <a16:creationId xmlns:a16="http://schemas.microsoft.com/office/drawing/2014/main" id="{723C5332-520B-56E4-E6FD-7092960AF9F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10225" y="2105025"/>
          <a:ext cx="904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742950</xdr:colOff>
      <xdr:row>5</xdr:row>
      <xdr:rowOff>66675</xdr:rowOff>
    </xdr:from>
    <xdr:to>
      <xdr:col>2</xdr:col>
      <xdr:colOff>219075</xdr:colOff>
      <xdr:row>6</xdr:row>
      <xdr:rowOff>400050</xdr:rowOff>
    </xdr:to>
    <xdr:grpSp>
      <xdr:nvGrpSpPr>
        <xdr:cNvPr id="15411" name="Group 1">
          <a:extLst>
            <a:ext uri="{FF2B5EF4-FFF2-40B4-BE49-F238E27FC236}">
              <a16:creationId xmlns:a16="http://schemas.microsoft.com/office/drawing/2014/main" id="{405C4941-4F5F-2CB6-514F-5D5DBBD9B0BA}"/>
            </a:ext>
          </a:extLst>
        </xdr:cNvPr>
        <xdr:cNvGrpSpPr>
          <a:grpSpLocks/>
        </xdr:cNvGrpSpPr>
      </xdr:nvGrpSpPr>
      <xdr:grpSpPr bwMode="auto">
        <a:xfrm>
          <a:off x="2590800" y="1543050"/>
          <a:ext cx="1857375" cy="819150"/>
          <a:chOff x="4657725" y="1514475"/>
          <a:chExt cx="2009775" cy="771525"/>
        </a:xfrm>
      </xdr:grpSpPr>
      <xdr:pic macro="[0]!Sheet22.addRow_NITALevyDtls">
        <xdr:nvPicPr>
          <xdr:cNvPr id="15412" name="Picture 5">
            <a:extLst>
              <a:ext uri="{FF2B5EF4-FFF2-40B4-BE49-F238E27FC236}">
                <a16:creationId xmlns:a16="http://schemas.microsoft.com/office/drawing/2014/main" id="{1CB448FC-BC49-1F1A-1C8F-BAECB08E0D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51447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5413" name="Picture 6">
            <a:extLst>
              <a:ext uri="{FF2B5EF4-FFF2-40B4-BE49-F238E27FC236}">
                <a16:creationId xmlns:a16="http://schemas.microsoft.com/office/drawing/2014/main" id="{D05C528F-C17A-30A0-04BF-8DE6294C2EA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53583"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5414" name="Picture 7">
            <a:extLst>
              <a:ext uri="{FF2B5EF4-FFF2-40B4-BE49-F238E27FC236}">
                <a16:creationId xmlns:a16="http://schemas.microsoft.com/office/drawing/2014/main" id="{6E29EAD9-ED6C-3967-BD3A-EC945A61BB7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57725"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NITALevyDtls_List">
        <xdr:nvPicPr>
          <xdr:cNvPr id="15415" name="Picture 9">
            <a:extLst>
              <a:ext uri="{FF2B5EF4-FFF2-40B4-BE49-F238E27FC236}">
                <a16:creationId xmlns:a16="http://schemas.microsoft.com/office/drawing/2014/main" id="{B31DF1E5-2B4B-0465-F507-100737C4509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24031"/>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2590800</xdr:colOff>
      <xdr:row>22</xdr:row>
      <xdr:rowOff>76200</xdr:rowOff>
    </xdr:from>
    <xdr:to>
      <xdr:col>1</xdr:col>
      <xdr:colOff>3514725</xdr:colOff>
      <xdr:row>22</xdr:row>
      <xdr:rowOff>419100</xdr:rowOff>
    </xdr:to>
    <xdr:pic macro="[0]!findPrev_sheet">
      <xdr:nvPicPr>
        <xdr:cNvPr id="16425" name="Picture 15">
          <a:extLst>
            <a:ext uri="{FF2B5EF4-FFF2-40B4-BE49-F238E27FC236}">
              <a16:creationId xmlns:a16="http://schemas.microsoft.com/office/drawing/2014/main" id="{074D0F18-B7A6-8075-22F0-17F908A40C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62300" y="76962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22</xdr:row>
      <xdr:rowOff>66675</xdr:rowOff>
    </xdr:from>
    <xdr:to>
      <xdr:col>1</xdr:col>
      <xdr:colOff>4591050</xdr:colOff>
      <xdr:row>22</xdr:row>
      <xdr:rowOff>409575</xdr:rowOff>
    </xdr:to>
    <xdr:pic macro="[0]!createErrorSheet">
      <xdr:nvPicPr>
        <xdr:cNvPr id="16426" name="Picture 12">
          <a:extLst>
            <a:ext uri="{FF2B5EF4-FFF2-40B4-BE49-F238E27FC236}">
              <a16:creationId xmlns:a16="http://schemas.microsoft.com/office/drawing/2014/main" id="{86C92439-43F7-C4E1-AF89-BC02716232E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38625" y="768667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2590800</xdr:colOff>
      <xdr:row>22</xdr:row>
      <xdr:rowOff>76200</xdr:rowOff>
    </xdr:from>
    <xdr:to>
      <xdr:col>1</xdr:col>
      <xdr:colOff>3514725</xdr:colOff>
      <xdr:row>22</xdr:row>
      <xdr:rowOff>419100</xdr:rowOff>
    </xdr:to>
    <xdr:pic macro="[0]!findPrev_sheet">
      <xdr:nvPicPr>
        <xdr:cNvPr id="16427" name="Picture 15">
          <a:extLst>
            <a:ext uri="{FF2B5EF4-FFF2-40B4-BE49-F238E27FC236}">
              <a16:creationId xmlns:a16="http://schemas.microsoft.com/office/drawing/2014/main" id="{DDE02F47-45CF-5AC1-D3BF-2EBDFF4923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62300" y="76962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22</xdr:row>
      <xdr:rowOff>66675</xdr:rowOff>
    </xdr:from>
    <xdr:to>
      <xdr:col>1</xdr:col>
      <xdr:colOff>4591050</xdr:colOff>
      <xdr:row>22</xdr:row>
      <xdr:rowOff>409575</xdr:rowOff>
    </xdr:to>
    <xdr:pic macro="[0]!createErrorSheet">
      <xdr:nvPicPr>
        <xdr:cNvPr id="16428" name="Picture 12">
          <a:extLst>
            <a:ext uri="{FF2B5EF4-FFF2-40B4-BE49-F238E27FC236}">
              <a16:creationId xmlns:a16="http://schemas.microsoft.com/office/drawing/2014/main" id="{A98089CF-0FA5-DF4A-3A86-30B8F59F925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38625" y="768667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38BF-DC4C-4165-94B0-882406736E04}">
  <sheetPr codeName="Sheet1"/>
  <dimension ref="A1:C32"/>
  <sheetViews>
    <sheetView workbookViewId="0">
      <selection activeCell="C26" sqref="C26"/>
    </sheetView>
  </sheetViews>
  <sheetFormatPr defaultColWidth="0" defaultRowHeight="15" zeroHeight="1" x14ac:dyDescent="0.25"/>
  <cols>
    <col min="1" max="1" width="24.7109375" customWidth="1"/>
    <col min="2" max="2" width="8.7109375" customWidth="1"/>
    <col min="3" max="3" width="114.7109375" customWidth="1"/>
  </cols>
  <sheetData>
    <row r="1" spans="1:3" ht="16.5" customHeight="1" x14ac:dyDescent="0.25">
      <c r="A1" s="209" t="s">
        <v>0</v>
      </c>
      <c r="B1" s="209"/>
      <c r="C1" s="209"/>
    </row>
    <row r="2" spans="1:3" ht="15.75" x14ac:dyDescent="0.25">
      <c r="A2" s="1"/>
      <c r="B2" s="2"/>
      <c r="C2" s="3"/>
    </row>
    <row r="3" spans="1:3" ht="16.5" x14ac:dyDescent="0.3">
      <c r="A3" s="4" t="s">
        <v>1</v>
      </c>
      <c r="B3" s="2"/>
      <c r="C3" s="3"/>
    </row>
    <row r="4" spans="1:3" ht="15.75" x14ac:dyDescent="0.25">
      <c r="A4" s="1"/>
      <c r="B4" s="2" t="s">
        <v>2</v>
      </c>
      <c r="C4" s="3"/>
    </row>
    <row r="5" spans="1:3" ht="16.5" x14ac:dyDescent="0.3">
      <c r="A5" s="1"/>
      <c r="B5" s="5">
        <v>1</v>
      </c>
      <c r="C5" s="6" t="s">
        <v>3</v>
      </c>
    </row>
    <row r="6" spans="1:3" ht="15.75" x14ac:dyDescent="0.25">
      <c r="A6" s="1"/>
      <c r="B6" s="5">
        <v>2</v>
      </c>
      <c r="C6" s="6" t="s">
        <v>4</v>
      </c>
    </row>
    <row r="7" spans="1:3" ht="15.75" x14ac:dyDescent="0.25">
      <c r="A7" s="1"/>
      <c r="B7" s="5">
        <v>3</v>
      </c>
      <c r="C7" s="6" t="s">
        <v>5</v>
      </c>
    </row>
    <row r="8" spans="1:3" ht="15.75" x14ac:dyDescent="0.25">
      <c r="A8" s="1"/>
      <c r="B8" s="5">
        <v>4</v>
      </c>
      <c r="C8" s="6" t="s">
        <v>6</v>
      </c>
    </row>
    <row r="9" spans="1:3" ht="16.5" x14ac:dyDescent="0.3">
      <c r="A9" s="4" t="s">
        <v>7</v>
      </c>
      <c r="B9" s="2"/>
      <c r="C9" s="3"/>
    </row>
    <row r="10" spans="1:3" ht="15.75" x14ac:dyDescent="0.25">
      <c r="A10" s="1"/>
      <c r="B10" s="2" t="s">
        <v>2</v>
      </c>
      <c r="C10" s="3"/>
    </row>
    <row r="11" spans="1:3" ht="16.5" x14ac:dyDescent="0.3">
      <c r="A11" s="1"/>
      <c r="B11" s="5">
        <v>1</v>
      </c>
      <c r="C11" s="6" t="s">
        <v>8</v>
      </c>
    </row>
    <row r="12" spans="1:3" ht="15.75" x14ac:dyDescent="0.25">
      <c r="A12" s="1"/>
      <c r="B12" s="5">
        <v>2</v>
      </c>
      <c r="C12" s="6" t="s">
        <v>4</v>
      </c>
    </row>
    <row r="13" spans="1:3" ht="15.75" x14ac:dyDescent="0.25">
      <c r="A13" s="1"/>
      <c r="B13" s="5">
        <v>3</v>
      </c>
      <c r="C13" s="6" t="s">
        <v>5</v>
      </c>
    </row>
    <row r="14" spans="1:3" ht="15.75" x14ac:dyDescent="0.25">
      <c r="A14" s="1"/>
      <c r="B14" s="5">
        <v>4</v>
      </c>
      <c r="C14" s="6" t="s">
        <v>6</v>
      </c>
    </row>
    <row r="15" spans="1:3" ht="15.75" x14ac:dyDescent="0.25">
      <c r="A15" s="1"/>
      <c r="B15" s="2"/>
      <c r="C15" s="3"/>
    </row>
    <row r="16" spans="1:3" ht="16.5" x14ac:dyDescent="0.3">
      <c r="A16" s="4" t="s">
        <v>9</v>
      </c>
      <c r="B16" s="2"/>
      <c r="C16" s="3"/>
    </row>
    <row r="17" spans="1:3" ht="15.75" x14ac:dyDescent="0.25">
      <c r="A17" s="1"/>
      <c r="B17" s="2" t="s">
        <v>2</v>
      </c>
      <c r="C17" s="3"/>
    </row>
    <row r="18" spans="1:3" ht="33" x14ac:dyDescent="0.3">
      <c r="A18" s="1"/>
      <c r="B18" s="5">
        <v>1</v>
      </c>
      <c r="C18" s="6" t="s">
        <v>10</v>
      </c>
    </row>
    <row r="19" spans="1:3" ht="31.5" x14ac:dyDescent="0.25">
      <c r="A19" s="1"/>
      <c r="B19" s="5">
        <v>2</v>
      </c>
      <c r="C19" s="6" t="s">
        <v>11</v>
      </c>
    </row>
    <row r="20" spans="1:3" ht="15.75" x14ac:dyDescent="0.25">
      <c r="A20" s="1"/>
      <c r="B20" s="5">
        <v>3</v>
      </c>
      <c r="C20" s="6" t="s">
        <v>6</v>
      </c>
    </row>
    <row r="21" spans="1:3" ht="16.5" x14ac:dyDescent="0.3">
      <c r="A21" s="1"/>
      <c r="B21" s="5">
        <v>4</v>
      </c>
      <c r="C21" s="6" t="s">
        <v>12</v>
      </c>
    </row>
    <row r="22" spans="1:3" ht="15.75" x14ac:dyDescent="0.25">
      <c r="A22" s="1"/>
      <c r="B22" s="2"/>
      <c r="C22" s="3"/>
    </row>
    <row r="23" spans="1:3" ht="15.75" x14ac:dyDescent="0.25">
      <c r="A23" s="1"/>
      <c r="B23" s="7"/>
      <c r="C23" s="8" t="s">
        <v>13</v>
      </c>
    </row>
    <row r="24" spans="1:3" ht="16.5" x14ac:dyDescent="0.25">
      <c r="A24" s="1"/>
      <c r="B24" s="9"/>
      <c r="C24" s="8" t="s">
        <v>14</v>
      </c>
    </row>
    <row r="25" spans="1:3" ht="16.5" customHeight="1" x14ac:dyDescent="0.25">
      <c r="A25" s="1"/>
      <c r="B25" s="10" t="s">
        <v>15</v>
      </c>
      <c r="C25" s="8" t="s">
        <v>16</v>
      </c>
    </row>
    <row r="26" spans="1:3" ht="15.75" x14ac:dyDescent="0.25">
      <c r="A26" s="11"/>
      <c r="B26" s="11"/>
      <c r="C26" s="11"/>
    </row>
    <row r="27" spans="1:3" ht="15.75" customHeight="1" x14ac:dyDescent="0.25">
      <c r="A27" s="11"/>
      <c r="B27" s="210" t="s">
        <v>17</v>
      </c>
      <c r="C27" s="210"/>
    </row>
    <row r="28" spans="1:3" ht="15.75" x14ac:dyDescent="0.25">
      <c r="A28" s="11"/>
      <c r="B28" s="11"/>
      <c r="C28" s="11"/>
    </row>
    <row r="29" spans="1:3" ht="15.75" customHeight="1" x14ac:dyDescent="0.25">
      <c r="A29" s="211" t="s">
        <v>18</v>
      </c>
      <c r="B29" s="211"/>
      <c r="C29" s="211"/>
    </row>
    <row r="30" spans="1:3" ht="31.5" customHeight="1" x14ac:dyDescent="0.3">
      <c r="A30" s="212" t="s">
        <v>19</v>
      </c>
      <c r="B30" s="212"/>
      <c r="C30" s="212"/>
    </row>
    <row r="31" spans="1:3" ht="15.75" x14ac:dyDescent="0.25">
      <c r="A31" s="12"/>
      <c r="B31" s="13"/>
      <c r="C31" s="14"/>
    </row>
    <row r="32" spans="1:3" ht="16.5" x14ac:dyDescent="0.3">
      <c r="A32" s="213"/>
      <c r="B32" s="213"/>
      <c r="C32" s="213"/>
    </row>
  </sheetData>
  <sheetProtection selectLockedCells="1"/>
  <mergeCells count="5">
    <mergeCell ref="A1:C1"/>
    <mergeCell ref="B27:C27"/>
    <mergeCell ref="A29:C29"/>
    <mergeCell ref="A30:C30"/>
    <mergeCell ref="A32:C32"/>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366A2-B369-4CBF-8479-77E83579758B}">
  <sheetPr codeName="Sheet2">
    <tabColor indexed="10"/>
  </sheetPr>
  <dimension ref="A1:E200"/>
  <sheetViews>
    <sheetView workbookViewId="0">
      <selection activeCell="C6" sqref="C6"/>
    </sheetView>
  </sheetViews>
  <sheetFormatPr defaultColWidth="0" defaultRowHeight="15" zeroHeight="1" x14ac:dyDescent="0.25"/>
  <cols>
    <col min="1" max="1" width="10.7109375" customWidth="1"/>
    <col min="2" max="2" width="25.7109375" customWidth="1"/>
    <col min="3" max="3" width="50.7109375" customWidth="1"/>
    <col min="4" max="4" width="63.7109375" customWidth="1"/>
    <col min="5" max="5" width="25.7109375" customWidth="1"/>
  </cols>
  <sheetData>
    <row r="1" spans="1:5" ht="24.75" customHeight="1" x14ac:dyDescent="0.25">
      <c r="A1" s="15" t="s">
        <v>20</v>
      </c>
      <c r="B1" s="15" t="s">
        <v>21</v>
      </c>
      <c r="C1" s="15" t="s">
        <v>22</v>
      </c>
      <c r="D1" s="15" t="s">
        <v>23</v>
      </c>
      <c r="E1" s="15" t="s">
        <v>24</v>
      </c>
    </row>
    <row r="2" spans="1:5" ht="15.75" x14ac:dyDescent="0.25">
      <c r="A2" s="16"/>
      <c r="B2" s="17"/>
      <c r="C2" s="18"/>
      <c r="D2" s="17"/>
      <c r="E2" s="17"/>
    </row>
    <row r="3" spans="1:5" ht="15.75" x14ac:dyDescent="0.25">
      <c r="A3" s="16"/>
      <c r="B3" s="17"/>
      <c r="C3" s="18"/>
      <c r="D3" s="17"/>
      <c r="E3" s="17"/>
    </row>
    <row r="4" spans="1:5" ht="15.75" x14ac:dyDescent="0.25">
      <c r="A4" s="16"/>
      <c r="B4" s="17"/>
      <c r="C4" s="18"/>
      <c r="D4" s="17"/>
      <c r="E4" s="17"/>
    </row>
    <row r="5" spans="1:5" ht="15.75" x14ac:dyDescent="0.25">
      <c r="A5" s="16"/>
      <c r="B5" s="17"/>
      <c r="C5" s="18"/>
      <c r="D5" s="17"/>
      <c r="E5" s="17"/>
    </row>
    <row r="6" spans="1:5" ht="15.75" x14ac:dyDescent="0.25">
      <c r="A6" s="16"/>
      <c r="B6" s="17"/>
      <c r="C6" s="18"/>
      <c r="D6" s="17"/>
      <c r="E6" s="17"/>
    </row>
    <row r="7" spans="1:5" ht="15.75" x14ac:dyDescent="0.25">
      <c r="A7" s="16"/>
      <c r="B7" s="17"/>
      <c r="C7" s="18"/>
      <c r="D7" s="17"/>
      <c r="E7" s="17"/>
    </row>
    <row r="8" spans="1:5" ht="15.75" x14ac:dyDescent="0.25">
      <c r="A8" s="16"/>
      <c r="B8" s="17"/>
      <c r="C8" s="18"/>
      <c r="D8" s="17"/>
      <c r="E8" s="17"/>
    </row>
    <row r="9" spans="1:5" ht="15.75" x14ac:dyDescent="0.25">
      <c r="A9" s="16"/>
      <c r="B9" s="17"/>
      <c r="C9" s="18"/>
      <c r="D9" s="17"/>
      <c r="E9" s="17"/>
    </row>
    <row r="10" spans="1:5" ht="15.75" x14ac:dyDescent="0.25">
      <c r="A10" s="16"/>
      <c r="B10" s="17"/>
      <c r="C10" s="18"/>
      <c r="D10" s="17"/>
      <c r="E10" s="17"/>
    </row>
    <row r="11" spans="1:5" ht="15.75" x14ac:dyDescent="0.25">
      <c r="A11" s="16"/>
      <c r="B11" s="17"/>
      <c r="C11" s="18"/>
      <c r="D11" s="17"/>
      <c r="E11" s="17"/>
    </row>
    <row r="12" spans="1:5" ht="15.75" x14ac:dyDescent="0.25">
      <c r="A12" s="16"/>
      <c r="B12" s="17"/>
      <c r="C12" s="18"/>
      <c r="D12" s="17"/>
      <c r="E12" s="17"/>
    </row>
    <row r="13" spans="1:5" ht="15.75" x14ac:dyDescent="0.25">
      <c r="A13" s="16"/>
      <c r="B13" s="17"/>
      <c r="C13" s="18"/>
      <c r="D13" s="17"/>
      <c r="E13" s="17"/>
    </row>
    <row r="14" spans="1:5" ht="15.75" x14ac:dyDescent="0.25">
      <c r="A14" s="16"/>
      <c r="B14" s="17"/>
      <c r="C14" s="18"/>
      <c r="D14" s="17"/>
      <c r="E14" s="17"/>
    </row>
    <row r="15" spans="1:5" ht="15.75" x14ac:dyDescent="0.25">
      <c r="A15" s="16"/>
      <c r="B15" s="17"/>
      <c r="C15" s="18"/>
      <c r="D15" s="17"/>
      <c r="E15" s="17"/>
    </row>
    <row r="16" spans="1:5" ht="15.75" x14ac:dyDescent="0.25">
      <c r="A16" s="16"/>
      <c r="B16" s="17"/>
      <c r="C16" s="18"/>
      <c r="D16" s="17"/>
      <c r="E16" s="17"/>
    </row>
    <row r="17" spans="1:5" ht="15.75" x14ac:dyDescent="0.25">
      <c r="A17" s="16"/>
      <c r="B17" s="17"/>
      <c r="C17" s="18"/>
      <c r="D17" s="17"/>
      <c r="E17" s="17"/>
    </row>
    <row r="18" spans="1:5" ht="15.75" x14ac:dyDescent="0.25">
      <c r="A18" s="16"/>
      <c r="B18" s="17"/>
      <c r="C18" s="18"/>
      <c r="D18" s="17"/>
      <c r="E18" s="17"/>
    </row>
    <row r="19" spans="1:5" ht="15.75" x14ac:dyDescent="0.25">
      <c r="A19" s="16"/>
      <c r="B19" s="17"/>
      <c r="C19" s="18"/>
      <c r="D19" s="17"/>
      <c r="E19" s="17"/>
    </row>
    <row r="20" spans="1:5" ht="15.75" x14ac:dyDescent="0.25">
      <c r="A20" s="16"/>
      <c r="B20" s="17"/>
      <c r="C20" s="18"/>
      <c r="D20" s="17"/>
      <c r="E20" s="17"/>
    </row>
    <row r="21" spans="1:5" ht="15.75" x14ac:dyDescent="0.25">
      <c r="A21" s="16"/>
      <c r="B21" s="17"/>
      <c r="C21" s="18"/>
      <c r="D21" s="17"/>
      <c r="E21" s="17"/>
    </row>
    <row r="22" spans="1:5" ht="15.75" x14ac:dyDescent="0.25">
      <c r="A22" s="16"/>
      <c r="B22" s="17"/>
      <c r="C22" s="18"/>
      <c r="D22" s="17"/>
      <c r="E22" s="17"/>
    </row>
    <row r="23" spans="1:5" ht="15.75" x14ac:dyDescent="0.25">
      <c r="A23" s="16"/>
      <c r="B23" s="17"/>
      <c r="C23" s="18"/>
      <c r="D23" s="17"/>
      <c r="E23" s="17"/>
    </row>
    <row r="24" spans="1:5" ht="15.75" x14ac:dyDescent="0.25">
      <c r="A24" s="16"/>
      <c r="B24" s="17"/>
      <c r="C24" s="18"/>
      <c r="D24" s="17"/>
      <c r="E24" s="17"/>
    </row>
    <row r="25" spans="1:5" ht="15.75" x14ac:dyDescent="0.25">
      <c r="A25" s="16"/>
      <c r="B25" s="17"/>
      <c r="C25" s="18"/>
      <c r="D25" s="17"/>
      <c r="E25" s="17"/>
    </row>
    <row r="26" spans="1:5" ht="15.75" x14ac:dyDescent="0.25">
      <c r="A26" s="16"/>
      <c r="B26" s="17"/>
      <c r="C26" s="18"/>
      <c r="D26" s="17"/>
      <c r="E26" s="17"/>
    </row>
    <row r="27" spans="1:5" ht="15.75" x14ac:dyDescent="0.25">
      <c r="A27" s="16"/>
      <c r="B27" s="17"/>
      <c r="C27" s="18"/>
      <c r="D27" s="17"/>
      <c r="E27" s="17"/>
    </row>
    <row r="28" spans="1:5" ht="15.75" x14ac:dyDescent="0.25">
      <c r="A28" s="16"/>
      <c r="B28" s="17"/>
      <c r="C28" s="18"/>
      <c r="D28" s="17"/>
      <c r="E28" s="17"/>
    </row>
    <row r="29" spans="1:5" ht="15.75" x14ac:dyDescent="0.25">
      <c r="A29" s="16"/>
      <c r="B29" s="17"/>
      <c r="C29" s="18"/>
      <c r="D29" s="17"/>
      <c r="E29" s="17"/>
    </row>
    <row r="30" spans="1:5" ht="15.75" x14ac:dyDescent="0.25">
      <c r="A30" s="16"/>
      <c r="B30" s="17"/>
      <c r="C30" s="18"/>
      <c r="D30" s="17"/>
      <c r="E30" s="17"/>
    </row>
    <row r="31" spans="1:5" ht="15.75" x14ac:dyDescent="0.25">
      <c r="A31" s="16"/>
      <c r="B31" s="17"/>
      <c r="C31" s="18"/>
      <c r="D31" s="17"/>
      <c r="E31" s="17"/>
    </row>
    <row r="32" spans="1:5" ht="15.75" x14ac:dyDescent="0.25">
      <c r="A32" s="16"/>
      <c r="B32" s="17"/>
      <c r="C32" s="18"/>
      <c r="D32" s="17"/>
      <c r="E32" s="17"/>
    </row>
    <row r="33" spans="1:5" ht="15.75" x14ac:dyDescent="0.25">
      <c r="A33" s="16"/>
      <c r="B33" s="17"/>
      <c r="C33" s="18"/>
      <c r="D33" s="17"/>
      <c r="E33" s="17"/>
    </row>
    <row r="34" spans="1:5" ht="15.75" x14ac:dyDescent="0.25">
      <c r="A34" s="16"/>
      <c r="B34" s="17"/>
      <c r="C34" s="18"/>
      <c r="D34" s="17"/>
      <c r="E34" s="17"/>
    </row>
    <row r="35" spans="1:5" ht="15.75" x14ac:dyDescent="0.25">
      <c r="A35" s="16"/>
      <c r="B35" s="17"/>
      <c r="C35" s="18"/>
      <c r="D35" s="17"/>
      <c r="E35" s="17"/>
    </row>
    <row r="36" spans="1:5" ht="15.75" x14ac:dyDescent="0.25">
      <c r="A36" s="16"/>
      <c r="B36" s="17"/>
      <c r="C36" s="182"/>
      <c r="D36" s="17"/>
      <c r="E36" s="17"/>
    </row>
    <row r="37" spans="1:5" ht="15.75" x14ac:dyDescent="0.25">
      <c r="A37" s="16"/>
      <c r="B37" s="17"/>
      <c r="C37" s="182"/>
      <c r="D37" s="17"/>
      <c r="E37" s="17"/>
    </row>
    <row r="38" spans="1:5" ht="15.75" x14ac:dyDescent="0.25">
      <c r="A38" s="16"/>
      <c r="B38" s="17"/>
      <c r="C38" s="182"/>
      <c r="D38" s="17"/>
      <c r="E38" s="17"/>
    </row>
    <row r="39" spans="1:5" ht="15.75" x14ac:dyDescent="0.25">
      <c r="A39" s="16"/>
      <c r="B39" s="17"/>
      <c r="C39" s="182"/>
      <c r="D39" s="17"/>
      <c r="E39" s="17"/>
    </row>
    <row r="40" spans="1:5" ht="15.75" x14ac:dyDescent="0.25">
      <c r="A40" s="16"/>
      <c r="B40" s="17"/>
      <c r="C40" s="182"/>
      <c r="D40" s="17"/>
      <c r="E40" s="17"/>
    </row>
    <row r="41" spans="1:5" ht="15.75" x14ac:dyDescent="0.25">
      <c r="A41" s="16"/>
      <c r="B41" s="17"/>
      <c r="C41" s="182"/>
      <c r="D41" s="17"/>
      <c r="E41" s="17"/>
    </row>
    <row r="42" spans="1:5" ht="15.75" x14ac:dyDescent="0.25">
      <c r="A42" s="16"/>
      <c r="B42" s="17"/>
      <c r="C42" s="182"/>
      <c r="D42" s="17"/>
      <c r="E42" s="17"/>
    </row>
    <row r="43" spans="1:5" ht="15.75" x14ac:dyDescent="0.25">
      <c r="A43" s="16"/>
      <c r="B43" s="17"/>
      <c r="C43" s="182"/>
      <c r="D43" s="17"/>
      <c r="E43" s="17"/>
    </row>
    <row r="44" spans="1:5" ht="15.75" x14ac:dyDescent="0.25">
      <c r="A44" s="16"/>
      <c r="B44" s="17"/>
      <c r="C44" s="182"/>
      <c r="D44" s="17"/>
      <c r="E44" s="17"/>
    </row>
    <row r="45" spans="1:5" ht="15.75" x14ac:dyDescent="0.25">
      <c r="A45" s="16"/>
      <c r="B45" s="17"/>
      <c r="C45" s="182"/>
      <c r="D45" s="17"/>
      <c r="E45" s="17"/>
    </row>
    <row r="46" spans="1:5" ht="15.75" x14ac:dyDescent="0.25">
      <c r="A46" s="16"/>
      <c r="B46" s="17"/>
      <c r="C46" s="182"/>
      <c r="D46" s="17"/>
      <c r="E46" s="17"/>
    </row>
    <row r="47" spans="1:5" ht="15.75" x14ac:dyDescent="0.25">
      <c r="A47" s="16"/>
      <c r="B47" s="17"/>
      <c r="C47" s="182"/>
      <c r="D47" s="17"/>
      <c r="E47" s="17"/>
    </row>
    <row r="48" spans="1:5" ht="15.75" x14ac:dyDescent="0.25">
      <c r="A48" s="16"/>
      <c r="B48" s="17"/>
      <c r="C48" s="182"/>
      <c r="D48" s="17"/>
      <c r="E48" s="17"/>
    </row>
    <row r="49" spans="1:5" ht="15.75" x14ac:dyDescent="0.25">
      <c r="A49" s="16"/>
      <c r="B49" s="17"/>
      <c r="C49" s="182"/>
      <c r="D49" s="17"/>
      <c r="E49" s="17"/>
    </row>
    <row r="50" spans="1:5" ht="15.75" x14ac:dyDescent="0.25">
      <c r="A50" s="16"/>
      <c r="B50" s="17"/>
      <c r="C50" s="19"/>
      <c r="D50" s="17"/>
      <c r="E50" s="17"/>
    </row>
    <row r="51" spans="1:5" ht="15.75" x14ac:dyDescent="0.25">
      <c r="A51" s="16"/>
      <c r="B51" s="17"/>
      <c r="C51" s="19"/>
      <c r="D51" s="17"/>
      <c r="E51" s="17"/>
    </row>
    <row r="52" spans="1:5" ht="15.75" x14ac:dyDescent="0.25">
      <c r="A52" s="16"/>
      <c r="B52" s="17"/>
      <c r="C52" s="19"/>
      <c r="D52" s="17"/>
      <c r="E52" s="17"/>
    </row>
    <row r="53" spans="1:5" ht="15.75" x14ac:dyDescent="0.25">
      <c r="A53" s="16"/>
      <c r="B53" s="17"/>
      <c r="C53" s="19"/>
      <c r="D53" s="17"/>
      <c r="E53" s="17"/>
    </row>
    <row r="54" spans="1:5" ht="15.75" x14ac:dyDescent="0.25">
      <c r="A54" s="16"/>
      <c r="B54" s="17"/>
      <c r="C54" s="19"/>
      <c r="D54" s="17"/>
      <c r="E54" s="17"/>
    </row>
    <row r="55" spans="1:5" ht="15.75" x14ac:dyDescent="0.25">
      <c r="A55" s="16"/>
      <c r="B55" s="17"/>
      <c r="C55" s="19"/>
      <c r="D55" s="17"/>
      <c r="E55" s="17"/>
    </row>
    <row r="56" spans="1:5" ht="15.75" x14ac:dyDescent="0.25">
      <c r="A56" s="16"/>
      <c r="B56" s="17"/>
      <c r="C56" s="19"/>
      <c r="D56" s="17"/>
      <c r="E56" s="17"/>
    </row>
    <row r="57" spans="1:5" ht="15.75" x14ac:dyDescent="0.25">
      <c r="A57" s="16"/>
      <c r="B57" s="17"/>
      <c r="C57" s="19"/>
      <c r="D57" s="17"/>
      <c r="E57" s="17"/>
    </row>
    <row r="58" spans="1:5" ht="15.75" x14ac:dyDescent="0.25">
      <c r="A58" s="16"/>
      <c r="B58" s="17"/>
      <c r="C58" s="19"/>
      <c r="D58" s="17"/>
      <c r="E58" s="17"/>
    </row>
    <row r="59" spans="1:5" ht="15.75" x14ac:dyDescent="0.25">
      <c r="A59" s="16"/>
      <c r="B59" s="17"/>
      <c r="C59" s="19"/>
      <c r="D59" s="17"/>
      <c r="E59" s="17"/>
    </row>
    <row r="60" spans="1:5" ht="15.75" x14ac:dyDescent="0.25">
      <c r="A60" s="16"/>
      <c r="B60" s="17"/>
      <c r="C60" s="19"/>
      <c r="D60" s="17"/>
      <c r="E60" s="17"/>
    </row>
    <row r="61" spans="1:5" ht="15.75" x14ac:dyDescent="0.25">
      <c r="A61" s="16"/>
      <c r="B61" s="17"/>
      <c r="C61" s="19"/>
      <c r="D61" s="17"/>
      <c r="E61" s="17"/>
    </row>
    <row r="62" spans="1:5" ht="15.75" x14ac:dyDescent="0.25">
      <c r="A62" s="16"/>
      <c r="B62" s="17"/>
      <c r="C62" s="19"/>
      <c r="D62" s="17"/>
      <c r="E62" s="17"/>
    </row>
    <row r="63" spans="1:5" ht="15.75" x14ac:dyDescent="0.25">
      <c r="A63" s="16"/>
      <c r="B63" s="17"/>
      <c r="C63" s="19"/>
      <c r="D63" s="17"/>
      <c r="E63" s="17"/>
    </row>
    <row r="64" spans="1:5" ht="15.75" x14ac:dyDescent="0.25">
      <c r="A64" s="16"/>
      <c r="B64" s="17"/>
      <c r="C64" s="19"/>
      <c r="D64" s="17"/>
      <c r="E64" s="17"/>
    </row>
    <row r="65" spans="1:5" ht="15.75" x14ac:dyDescent="0.25">
      <c r="A65" s="16"/>
      <c r="B65" s="17"/>
      <c r="C65" s="19"/>
      <c r="D65" s="17"/>
      <c r="E65" s="17"/>
    </row>
    <row r="66" spans="1:5" ht="15.75" x14ac:dyDescent="0.25">
      <c r="A66" s="16"/>
      <c r="B66" s="17"/>
      <c r="C66" s="19"/>
      <c r="D66" s="17"/>
      <c r="E66" s="17"/>
    </row>
    <row r="67" spans="1:5" ht="15.75" x14ac:dyDescent="0.25">
      <c r="A67" s="16"/>
      <c r="B67" s="17"/>
      <c r="C67" s="19"/>
      <c r="D67" s="17"/>
      <c r="E67" s="17"/>
    </row>
    <row r="68" spans="1:5" ht="15.75" x14ac:dyDescent="0.25">
      <c r="A68" s="16"/>
      <c r="B68" s="17"/>
      <c r="C68" s="19"/>
      <c r="D68" s="17"/>
      <c r="E68" s="17"/>
    </row>
    <row r="69" spans="1:5" ht="15.75" x14ac:dyDescent="0.25">
      <c r="A69" s="16"/>
      <c r="B69" s="17"/>
      <c r="C69" s="19"/>
      <c r="D69" s="17"/>
      <c r="E69" s="17"/>
    </row>
    <row r="70" spans="1:5" ht="15.75" x14ac:dyDescent="0.25">
      <c r="A70" s="16"/>
      <c r="B70" s="17"/>
      <c r="C70" s="19"/>
      <c r="D70" s="17"/>
      <c r="E70" s="17"/>
    </row>
    <row r="71" spans="1:5" ht="15.75" x14ac:dyDescent="0.25">
      <c r="A71" s="16"/>
      <c r="B71" s="17"/>
      <c r="C71" s="19"/>
      <c r="D71" s="17"/>
      <c r="E71" s="17"/>
    </row>
    <row r="72" spans="1:5" ht="15.75" x14ac:dyDescent="0.25">
      <c r="A72" s="16"/>
      <c r="B72" s="17"/>
      <c r="C72" s="19"/>
      <c r="D72" s="17"/>
      <c r="E72" s="17"/>
    </row>
    <row r="73" spans="1:5" ht="15.75" x14ac:dyDescent="0.25">
      <c r="A73" s="16"/>
      <c r="B73" s="17"/>
      <c r="C73" s="19"/>
      <c r="D73" s="17"/>
      <c r="E73" s="17"/>
    </row>
    <row r="74" spans="1:5" ht="15.75" x14ac:dyDescent="0.25">
      <c r="A74" s="16"/>
      <c r="B74" s="17"/>
      <c r="C74" s="19"/>
      <c r="D74" s="17"/>
      <c r="E74" s="17"/>
    </row>
    <row r="75" spans="1:5" ht="15.75" x14ac:dyDescent="0.25">
      <c r="A75" s="16"/>
      <c r="B75" s="17"/>
      <c r="C75" s="19"/>
      <c r="D75" s="17"/>
      <c r="E75" s="17"/>
    </row>
    <row r="76" spans="1:5" ht="15.75" x14ac:dyDescent="0.25">
      <c r="A76" s="16"/>
      <c r="B76" s="17"/>
      <c r="C76" s="19"/>
      <c r="D76" s="17"/>
      <c r="E76" s="17"/>
    </row>
    <row r="77" spans="1:5" ht="15.75" x14ac:dyDescent="0.25">
      <c r="A77" s="16"/>
      <c r="B77" s="17"/>
      <c r="C77" s="19"/>
      <c r="D77" s="17"/>
      <c r="E77" s="17"/>
    </row>
    <row r="78" spans="1:5" ht="15.75" x14ac:dyDescent="0.25">
      <c r="A78" s="16"/>
      <c r="B78" s="17"/>
      <c r="C78" s="19"/>
      <c r="D78" s="17"/>
      <c r="E78" s="17"/>
    </row>
    <row r="79" spans="1:5" ht="15.75" x14ac:dyDescent="0.25">
      <c r="A79" s="16"/>
      <c r="B79" s="17"/>
      <c r="C79" s="19"/>
      <c r="D79" s="17"/>
      <c r="E79" s="17"/>
    </row>
    <row r="80" spans="1:5" ht="15.75" x14ac:dyDescent="0.25">
      <c r="A80" s="16"/>
      <c r="B80" s="17"/>
      <c r="C80" s="19"/>
      <c r="D80" s="17"/>
      <c r="E80" s="17"/>
    </row>
    <row r="81" spans="1:5" ht="15.75" x14ac:dyDescent="0.25">
      <c r="A81" s="16"/>
      <c r="B81" s="17"/>
      <c r="C81" s="19"/>
      <c r="D81" s="17"/>
      <c r="E81" s="17"/>
    </row>
    <row r="82" spans="1:5" ht="15.75" x14ac:dyDescent="0.25">
      <c r="A82" s="16"/>
      <c r="B82" s="17"/>
      <c r="C82" s="19"/>
      <c r="D82" s="17"/>
      <c r="E82" s="17"/>
    </row>
    <row r="83" spans="1:5" ht="15.75" x14ac:dyDescent="0.25">
      <c r="A83" s="16"/>
      <c r="B83" s="17"/>
      <c r="C83" s="19"/>
      <c r="D83" s="17"/>
      <c r="E83" s="17"/>
    </row>
    <row r="84" spans="1:5" ht="15.75" x14ac:dyDescent="0.25">
      <c r="A84" s="16"/>
      <c r="B84" s="17"/>
      <c r="C84" s="19"/>
      <c r="D84" s="17"/>
      <c r="E84" s="17"/>
    </row>
    <row r="85" spans="1:5" ht="15.75" x14ac:dyDescent="0.25">
      <c r="A85" s="16"/>
      <c r="B85" s="17"/>
      <c r="C85" s="19"/>
      <c r="D85" s="17"/>
      <c r="E85" s="17"/>
    </row>
    <row r="86" spans="1:5" ht="15.75" x14ac:dyDescent="0.25">
      <c r="A86" s="16"/>
      <c r="B86" s="17"/>
      <c r="C86" s="19"/>
      <c r="D86" s="17"/>
      <c r="E86" s="17"/>
    </row>
    <row r="87" spans="1:5" ht="15.75" x14ac:dyDescent="0.25">
      <c r="A87" s="16"/>
      <c r="B87" s="17"/>
      <c r="C87" s="19"/>
      <c r="D87" s="17"/>
      <c r="E87" s="17"/>
    </row>
    <row r="88" spans="1:5" ht="15.75" x14ac:dyDescent="0.25">
      <c r="A88" s="16"/>
      <c r="B88" s="17"/>
      <c r="C88" s="19"/>
      <c r="D88" s="17"/>
      <c r="E88" s="17"/>
    </row>
    <row r="89" spans="1:5" ht="15.75" x14ac:dyDescent="0.25">
      <c r="A89" s="16"/>
      <c r="B89" s="17"/>
      <c r="C89" s="19"/>
      <c r="D89" s="17"/>
      <c r="E89" s="17"/>
    </row>
    <row r="90" spans="1:5" ht="15.75" x14ac:dyDescent="0.25">
      <c r="A90" s="16"/>
      <c r="B90" s="17"/>
      <c r="C90" s="19"/>
      <c r="D90" s="17"/>
      <c r="E90" s="17"/>
    </row>
    <row r="91" spans="1:5" ht="15.75" x14ac:dyDescent="0.25">
      <c r="A91" s="16"/>
      <c r="B91" s="17"/>
      <c r="C91" s="19"/>
      <c r="D91" s="17"/>
      <c r="E91" s="17"/>
    </row>
    <row r="92" spans="1:5" ht="15.75" x14ac:dyDescent="0.25">
      <c r="A92" s="16"/>
      <c r="B92" s="17"/>
      <c r="C92" s="19"/>
      <c r="D92" s="17"/>
      <c r="E92" s="17"/>
    </row>
    <row r="93" spans="1:5" ht="15.75" x14ac:dyDescent="0.25">
      <c r="A93" s="16"/>
      <c r="B93" s="17"/>
      <c r="C93" s="19"/>
      <c r="D93" s="17"/>
      <c r="E93" s="17"/>
    </row>
    <row r="94" spans="1:5" ht="15.75" x14ac:dyDescent="0.25">
      <c r="A94" s="16"/>
      <c r="B94" s="17"/>
      <c r="C94" s="19"/>
      <c r="D94" s="17"/>
      <c r="E94" s="17"/>
    </row>
    <row r="95" spans="1:5" ht="15.75" x14ac:dyDescent="0.25">
      <c r="A95" s="16"/>
      <c r="B95" s="17"/>
      <c r="C95" s="19"/>
      <c r="D95" s="17"/>
      <c r="E95" s="17"/>
    </row>
    <row r="96" spans="1:5" ht="15.75" x14ac:dyDescent="0.25">
      <c r="A96" s="16"/>
      <c r="B96" s="17"/>
      <c r="C96" s="19"/>
      <c r="D96" s="17"/>
      <c r="E96" s="17"/>
    </row>
    <row r="97" spans="1:5" ht="15.75" x14ac:dyDescent="0.25">
      <c r="A97" s="16"/>
      <c r="B97" s="17"/>
      <c r="C97" s="19"/>
      <c r="D97" s="17"/>
      <c r="E97" s="17"/>
    </row>
    <row r="98" spans="1:5" ht="15.75" x14ac:dyDescent="0.25">
      <c r="A98" s="16"/>
      <c r="B98" s="17"/>
      <c r="C98" s="19"/>
      <c r="D98" s="17"/>
      <c r="E98" s="17"/>
    </row>
    <row r="99" spans="1:5" ht="15.75" x14ac:dyDescent="0.25">
      <c r="A99" s="16"/>
      <c r="B99" s="17"/>
      <c r="C99" s="19"/>
      <c r="D99" s="17"/>
      <c r="E99" s="17"/>
    </row>
    <row r="100" spans="1:5" ht="15.75" x14ac:dyDescent="0.25">
      <c r="A100" s="16"/>
      <c r="B100" s="17"/>
      <c r="C100" s="19"/>
      <c r="D100" s="17"/>
      <c r="E100" s="17"/>
    </row>
    <row r="101" spans="1:5" ht="15.75" x14ac:dyDescent="0.25">
      <c r="A101" s="16"/>
      <c r="B101" s="17"/>
      <c r="C101" s="20"/>
      <c r="D101" s="17"/>
      <c r="E101" s="17"/>
    </row>
    <row r="102" spans="1:5" ht="15.75" x14ac:dyDescent="0.25">
      <c r="A102" s="16"/>
      <c r="B102" s="17"/>
      <c r="C102" s="20"/>
      <c r="D102" s="17"/>
      <c r="E102" s="17"/>
    </row>
    <row r="103" spans="1:5" ht="15.75" x14ac:dyDescent="0.25">
      <c r="A103" s="16"/>
      <c r="B103" s="17"/>
      <c r="C103" s="20"/>
      <c r="D103" s="17"/>
      <c r="E103" s="17"/>
    </row>
    <row r="104" spans="1:5" ht="15.75" x14ac:dyDescent="0.25">
      <c r="A104" s="16"/>
      <c r="B104" s="17"/>
      <c r="C104" s="20"/>
      <c r="D104" s="17"/>
      <c r="E104" s="17"/>
    </row>
    <row r="105" spans="1:5" ht="15.75" x14ac:dyDescent="0.25">
      <c r="A105" s="16"/>
      <c r="B105" s="17"/>
      <c r="C105" s="20"/>
      <c r="D105" s="17"/>
      <c r="E105" s="17"/>
    </row>
    <row r="106" spans="1:5" ht="15.75" x14ac:dyDescent="0.25">
      <c r="A106" s="16"/>
      <c r="B106" s="17"/>
      <c r="C106" s="20"/>
      <c r="D106" s="17"/>
      <c r="E106" s="17"/>
    </row>
    <row r="107" spans="1:5" ht="15.75" x14ac:dyDescent="0.25">
      <c r="A107" s="16"/>
      <c r="B107" s="17"/>
      <c r="C107" s="20"/>
      <c r="D107" s="17"/>
      <c r="E107" s="17"/>
    </row>
    <row r="108" spans="1:5" ht="15.75" x14ac:dyDescent="0.25">
      <c r="A108" s="16"/>
      <c r="B108" s="17"/>
      <c r="C108" s="20"/>
      <c r="D108" s="17"/>
      <c r="E108" s="17"/>
    </row>
    <row r="109" spans="1:5" ht="15.75" x14ac:dyDescent="0.25">
      <c r="A109" s="16"/>
      <c r="B109" s="17"/>
      <c r="C109" s="20"/>
      <c r="D109" s="17"/>
      <c r="E109" s="17"/>
    </row>
    <row r="110" spans="1:5" ht="15.75" x14ac:dyDescent="0.25">
      <c r="A110" s="16"/>
      <c r="B110" s="17"/>
      <c r="C110" s="20"/>
      <c r="D110" s="17"/>
      <c r="E110" s="17"/>
    </row>
    <row r="111" spans="1:5" ht="15.75" x14ac:dyDescent="0.25">
      <c r="A111" s="16"/>
      <c r="B111" s="17"/>
      <c r="C111" s="20"/>
      <c r="D111" s="17"/>
      <c r="E111" s="17"/>
    </row>
    <row r="112" spans="1:5" ht="15.75" x14ac:dyDescent="0.25">
      <c r="A112" s="16"/>
      <c r="B112" s="17"/>
      <c r="C112" s="20"/>
      <c r="D112" s="17"/>
      <c r="E112" s="17"/>
    </row>
    <row r="113" spans="1:5" ht="15.75" x14ac:dyDescent="0.25">
      <c r="A113" s="16"/>
      <c r="B113" s="17"/>
      <c r="C113" s="20"/>
      <c r="D113" s="17"/>
      <c r="E113" s="17"/>
    </row>
    <row r="114" spans="1:5" ht="15.75" x14ac:dyDescent="0.25">
      <c r="A114" s="16"/>
      <c r="B114" s="17"/>
      <c r="C114" s="20"/>
      <c r="D114" s="17"/>
      <c r="E114" s="17"/>
    </row>
    <row r="115" spans="1:5" ht="15.75" x14ac:dyDescent="0.25">
      <c r="A115" s="16"/>
      <c r="B115" s="17"/>
      <c r="C115" s="20"/>
      <c r="D115" s="17"/>
      <c r="E115" s="17"/>
    </row>
    <row r="116" spans="1:5" ht="15.75" x14ac:dyDescent="0.25">
      <c r="A116" s="16"/>
      <c r="B116" s="17"/>
      <c r="C116" s="20"/>
      <c r="D116" s="17"/>
      <c r="E116" s="17"/>
    </row>
    <row r="117" spans="1:5" ht="15.75" x14ac:dyDescent="0.25">
      <c r="A117" s="16"/>
      <c r="B117" s="17"/>
      <c r="C117" s="20"/>
      <c r="D117" s="17"/>
      <c r="E117" s="17"/>
    </row>
    <row r="118" spans="1:5" ht="15.75" x14ac:dyDescent="0.25">
      <c r="A118" s="16"/>
      <c r="B118" s="17"/>
      <c r="C118" s="20"/>
      <c r="D118" s="17"/>
      <c r="E118" s="17"/>
    </row>
    <row r="119" spans="1:5" ht="15.75" x14ac:dyDescent="0.25">
      <c r="A119" s="16"/>
      <c r="B119" s="17"/>
      <c r="C119" s="20"/>
      <c r="D119" s="17"/>
      <c r="E119" s="17"/>
    </row>
    <row r="120" spans="1:5" ht="15.75" x14ac:dyDescent="0.25">
      <c r="A120" s="16"/>
      <c r="B120" s="17"/>
      <c r="C120" s="20"/>
      <c r="D120" s="17"/>
      <c r="E120" s="17"/>
    </row>
    <row r="121" spans="1:5" ht="15.75" x14ac:dyDescent="0.25">
      <c r="A121" s="16"/>
      <c r="B121" s="17"/>
      <c r="C121" s="20"/>
      <c r="D121" s="17"/>
      <c r="E121" s="17"/>
    </row>
    <row r="122" spans="1:5" ht="15.75" x14ac:dyDescent="0.25">
      <c r="A122" s="16"/>
      <c r="B122" s="17"/>
      <c r="C122" s="20"/>
      <c r="D122" s="17"/>
      <c r="E122" s="17"/>
    </row>
    <row r="123" spans="1:5" ht="15.75" x14ac:dyDescent="0.25">
      <c r="A123" s="16"/>
      <c r="B123" s="17"/>
      <c r="C123" s="20"/>
      <c r="D123" s="17"/>
      <c r="E123" s="17"/>
    </row>
    <row r="124" spans="1:5" ht="15.75" x14ac:dyDescent="0.25">
      <c r="A124" s="16"/>
      <c r="B124" s="17"/>
      <c r="C124" s="20"/>
      <c r="D124" s="17"/>
      <c r="E124" s="17"/>
    </row>
    <row r="125" spans="1:5" ht="15.75" x14ac:dyDescent="0.25">
      <c r="A125" s="16"/>
      <c r="B125" s="17"/>
      <c r="C125" s="20"/>
      <c r="D125" s="17"/>
      <c r="E125" s="17"/>
    </row>
    <row r="126" spans="1:5" ht="15.75" x14ac:dyDescent="0.25">
      <c r="A126" s="16"/>
      <c r="B126" s="17"/>
      <c r="C126" s="20"/>
      <c r="D126" s="17"/>
      <c r="E126" s="17"/>
    </row>
    <row r="127" spans="1:5" ht="15.75" x14ac:dyDescent="0.25">
      <c r="A127" s="16"/>
      <c r="B127" s="17"/>
      <c r="C127" s="20"/>
      <c r="D127" s="17"/>
      <c r="E127" s="17"/>
    </row>
    <row r="128" spans="1:5" ht="15.75" x14ac:dyDescent="0.25">
      <c r="A128" s="16"/>
      <c r="B128" s="17"/>
      <c r="C128" s="20"/>
      <c r="D128" s="17"/>
      <c r="E128" s="17"/>
    </row>
    <row r="129" spans="1:5" ht="15.75" x14ac:dyDescent="0.25">
      <c r="A129" s="16"/>
      <c r="B129" s="17"/>
      <c r="C129" s="20"/>
      <c r="D129" s="17"/>
      <c r="E129" s="17"/>
    </row>
    <row r="130" spans="1:5" x14ac:dyDescent="0.25"/>
    <row r="131" spans="1:5" x14ac:dyDescent="0.25"/>
    <row r="132" spans="1:5" x14ac:dyDescent="0.25"/>
    <row r="133" spans="1:5" x14ac:dyDescent="0.25"/>
    <row r="134" spans="1:5" x14ac:dyDescent="0.25"/>
    <row r="135" spans="1:5" x14ac:dyDescent="0.25"/>
    <row r="136" spans="1:5" x14ac:dyDescent="0.25"/>
    <row r="137" spans="1:5" x14ac:dyDescent="0.25"/>
    <row r="138" spans="1:5" x14ac:dyDescent="0.25"/>
    <row r="139" spans="1:5" x14ac:dyDescent="0.25"/>
    <row r="140" spans="1:5" x14ac:dyDescent="0.25"/>
    <row r="141" spans="1:5" x14ac:dyDescent="0.25"/>
    <row r="142" spans="1:5" x14ac:dyDescent="0.25"/>
    <row r="143" spans="1:5" x14ac:dyDescent="0.25"/>
    <row r="144" spans="1:5"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sheetData>
  <pageMargins left="0.7" right="0.7" top="0.75" bottom="0.75" header="0.51180555555555551" footer="0.51180555555555551"/>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483BD-0791-4131-B45F-057E852D62AE}">
  <sheetPr codeName="Sheet20"/>
  <dimension ref="A1:AO1505"/>
  <sheetViews>
    <sheetView topLeftCell="A1024" zoomScaleNormal="100" workbookViewId="0">
      <selection activeCell="A1028" sqref="A1028"/>
    </sheetView>
  </sheetViews>
  <sheetFormatPr defaultRowHeight="15" x14ac:dyDescent="0.25"/>
  <cols>
    <col min="1" max="1" width="30" customWidth="1"/>
    <col min="2" max="2" width="23.7109375" customWidth="1"/>
    <col min="3" max="3" width="18.42578125" customWidth="1"/>
    <col min="4" max="4" width="28" customWidth="1"/>
    <col min="5" max="5" width="19.7109375" customWidth="1"/>
    <col min="7" max="7" width="25" customWidth="1"/>
  </cols>
  <sheetData>
    <row r="1" spans="1:4" x14ac:dyDescent="0.25">
      <c r="A1" s="26" t="s">
        <v>194</v>
      </c>
    </row>
    <row r="2" spans="1:4" x14ac:dyDescent="0.25">
      <c r="A2" t="s">
        <v>195</v>
      </c>
      <c r="B2" t="s">
        <v>196</v>
      </c>
      <c r="C2" t="s">
        <v>197</v>
      </c>
      <c r="D2" t="s">
        <v>198</v>
      </c>
    </row>
    <row r="3" spans="1:4" x14ac:dyDescent="0.25">
      <c r="A3" t="s">
        <v>199</v>
      </c>
      <c r="B3">
        <v>76</v>
      </c>
      <c r="C3" t="s">
        <v>200</v>
      </c>
      <c r="D3" t="s">
        <v>125</v>
      </c>
    </row>
    <row r="4" spans="1:4" x14ac:dyDescent="0.25">
      <c r="A4" t="s">
        <v>201</v>
      </c>
      <c r="B4">
        <v>80</v>
      </c>
      <c r="C4" t="s">
        <v>202</v>
      </c>
      <c r="D4" t="s">
        <v>203</v>
      </c>
    </row>
    <row r="5" spans="1:4" x14ac:dyDescent="0.25">
      <c r="A5" t="s">
        <v>204</v>
      </c>
      <c r="B5">
        <v>84</v>
      </c>
      <c r="C5" t="s">
        <v>205</v>
      </c>
      <c r="D5" t="s">
        <v>206</v>
      </c>
    </row>
    <row r="6" spans="1:4" x14ac:dyDescent="0.25">
      <c r="A6" t="s">
        <v>207</v>
      </c>
      <c r="B6">
        <v>88</v>
      </c>
      <c r="C6" t="s">
        <v>208</v>
      </c>
      <c r="D6" t="s">
        <v>209</v>
      </c>
    </row>
    <row r="7" spans="1:4" x14ac:dyDescent="0.25">
      <c r="A7" t="s">
        <v>210</v>
      </c>
      <c r="B7">
        <v>92</v>
      </c>
      <c r="C7" t="s">
        <v>211</v>
      </c>
      <c r="D7" t="s">
        <v>212</v>
      </c>
    </row>
    <row r="8" spans="1:4" x14ac:dyDescent="0.25">
      <c r="A8" t="s">
        <v>213</v>
      </c>
      <c r="B8">
        <v>96</v>
      </c>
      <c r="C8" t="s">
        <v>214</v>
      </c>
      <c r="D8" t="s">
        <v>215</v>
      </c>
    </row>
    <row r="9" spans="1:4" x14ac:dyDescent="0.25">
      <c r="A9" t="s">
        <v>216</v>
      </c>
      <c r="B9">
        <v>100</v>
      </c>
      <c r="C9" t="s">
        <v>217</v>
      </c>
      <c r="D9" t="s">
        <v>135</v>
      </c>
    </row>
    <row r="10" spans="1:4" x14ac:dyDescent="0.25">
      <c r="A10" t="s">
        <v>218</v>
      </c>
      <c r="B10">
        <v>104</v>
      </c>
      <c r="C10" t="s">
        <v>219</v>
      </c>
      <c r="D10" t="s">
        <v>220</v>
      </c>
    </row>
    <row r="11" spans="1:4" x14ac:dyDescent="0.25">
      <c r="A11" t="s">
        <v>221</v>
      </c>
      <c r="B11">
        <v>108</v>
      </c>
      <c r="C11" t="s">
        <v>222</v>
      </c>
      <c r="D11" t="s">
        <v>223</v>
      </c>
    </row>
    <row r="12" spans="1:4" x14ac:dyDescent="0.25">
      <c r="A12" t="s">
        <v>224</v>
      </c>
      <c r="B12">
        <v>112</v>
      </c>
      <c r="C12" t="s">
        <v>225</v>
      </c>
      <c r="D12" t="s">
        <v>226</v>
      </c>
    </row>
    <row r="13" spans="1:4" x14ac:dyDescent="0.25">
      <c r="A13" t="s">
        <v>227</v>
      </c>
      <c r="B13">
        <v>116</v>
      </c>
      <c r="C13" t="s">
        <v>228</v>
      </c>
      <c r="D13" t="s">
        <v>229</v>
      </c>
    </row>
    <row r="14" spans="1:4" x14ac:dyDescent="0.25">
      <c r="A14" t="s">
        <v>230</v>
      </c>
      <c r="B14">
        <v>120</v>
      </c>
      <c r="C14" t="s">
        <v>231</v>
      </c>
      <c r="D14" t="s">
        <v>350</v>
      </c>
    </row>
    <row r="15" spans="1:4" x14ac:dyDescent="0.25">
      <c r="A15" t="s">
        <v>233</v>
      </c>
      <c r="B15">
        <v>124</v>
      </c>
      <c r="C15" t="s">
        <v>234</v>
      </c>
      <c r="D15" t="s">
        <v>351</v>
      </c>
    </row>
    <row r="16" spans="1:4" x14ac:dyDescent="0.25">
      <c r="A16" t="s">
        <v>236</v>
      </c>
      <c r="B16">
        <v>128</v>
      </c>
      <c r="C16" t="s">
        <v>237</v>
      </c>
      <c r="D16" t="s">
        <v>238</v>
      </c>
    </row>
    <row r="17" spans="1:4" x14ac:dyDescent="0.25">
      <c r="A17" t="s">
        <v>239</v>
      </c>
      <c r="B17">
        <v>132</v>
      </c>
      <c r="C17" t="s">
        <v>240</v>
      </c>
      <c r="D17" t="s">
        <v>241</v>
      </c>
    </row>
    <row r="18" spans="1:4" x14ac:dyDescent="0.25">
      <c r="A18" t="s">
        <v>242</v>
      </c>
      <c r="B18">
        <v>136</v>
      </c>
      <c r="C18" t="s">
        <v>243</v>
      </c>
      <c r="D18" t="s">
        <v>133</v>
      </c>
    </row>
    <row r="19" spans="1:4" x14ac:dyDescent="0.25">
      <c r="A19" t="s">
        <v>244</v>
      </c>
      <c r="B19">
        <v>140</v>
      </c>
      <c r="C19" t="s">
        <v>245</v>
      </c>
      <c r="D19" t="s">
        <v>246</v>
      </c>
    </row>
    <row r="20" spans="1:4" x14ac:dyDescent="0.25">
      <c r="A20" t="s">
        <v>247</v>
      </c>
      <c r="B20">
        <v>144</v>
      </c>
      <c r="C20" t="s">
        <v>248</v>
      </c>
      <c r="D20" t="s">
        <v>241</v>
      </c>
    </row>
    <row r="21" spans="1:4" x14ac:dyDescent="0.25">
      <c r="A21" t="s">
        <v>249</v>
      </c>
      <c r="B21">
        <v>148</v>
      </c>
      <c r="C21" t="s">
        <v>250</v>
      </c>
      <c r="D21" t="s">
        <v>133</v>
      </c>
    </row>
    <row r="22" spans="1:4" x14ac:dyDescent="0.25">
      <c r="A22" t="s">
        <v>251</v>
      </c>
      <c r="B22">
        <v>152</v>
      </c>
      <c r="C22" t="s">
        <v>252</v>
      </c>
      <c r="D22" t="s">
        <v>246</v>
      </c>
    </row>
    <row r="23" spans="1:4" x14ac:dyDescent="0.25">
      <c r="A23" t="s">
        <v>253</v>
      </c>
      <c r="B23">
        <v>156</v>
      </c>
      <c r="C23" t="s">
        <v>254</v>
      </c>
      <c r="D23" t="s">
        <v>133</v>
      </c>
    </row>
    <row r="24" spans="1:4" x14ac:dyDescent="0.25">
      <c r="A24" t="s">
        <v>255</v>
      </c>
      <c r="B24">
        <v>160</v>
      </c>
      <c r="C24" t="s">
        <v>256</v>
      </c>
      <c r="D24" t="s">
        <v>246</v>
      </c>
    </row>
    <row r="25" spans="1:4" x14ac:dyDescent="0.25">
      <c r="A25" t="s">
        <v>257</v>
      </c>
      <c r="B25">
        <v>164</v>
      </c>
      <c r="C25" t="s">
        <v>258</v>
      </c>
      <c r="D25" t="s">
        <v>241</v>
      </c>
    </row>
    <row r="26" spans="1:4" x14ac:dyDescent="0.25">
      <c r="A26" t="s">
        <v>259</v>
      </c>
      <c r="B26">
        <v>168</v>
      </c>
      <c r="C26" t="s">
        <v>260</v>
      </c>
      <c r="D26" t="s">
        <v>133</v>
      </c>
    </row>
    <row r="27" spans="1:4" x14ac:dyDescent="0.25">
      <c r="A27" t="s">
        <v>261</v>
      </c>
      <c r="B27">
        <v>172</v>
      </c>
      <c r="C27" t="s">
        <v>262</v>
      </c>
      <c r="D27" t="s">
        <v>246</v>
      </c>
    </row>
    <row r="28" spans="1:4" x14ac:dyDescent="0.25">
      <c r="A28" t="s">
        <v>263</v>
      </c>
      <c r="B28">
        <v>176</v>
      </c>
      <c r="C28" t="s">
        <v>264</v>
      </c>
      <c r="D28" t="s">
        <v>241</v>
      </c>
    </row>
    <row r="29" spans="1:4" x14ac:dyDescent="0.25">
      <c r="A29" t="s">
        <v>265</v>
      </c>
      <c r="B29">
        <v>180</v>
      </c>
      <c r="C29" t="s">
        <v>266</v>
      </c>
      <c r="D29" t="s">
        <v>241</v>
      </c>
    </row>
    <row r="30" spans="1:4" x14ac:dyDescent="0.25">
      <c r="A30" t="s">
        <v>267</v>
      </c>
      <c r="B30">
        <v>184</v>
      </c>
      <c r="C30" t="s">
        <v>268</v>
      </c>
      <c r="D30" t="s">
        <v>133</v>
      </c>
    </row>
    <row r="31" spans="1:4" x14ac:dyDescent="0.25">
      <c r="A31" t="s">
        <v>269</v>
      </c>
      <c r="B31">
        <v>188</v>
      </c>
      <c r="C31" t="s">
        <v>270</v>
      </c>
      <c r="D31" t="s">
        <v>246</v>
      </c>
    </row>
    <row r="32" spans="1:4" x14ac:dyDescent="0.25">
      <c r="A32" t="s">
        <v>271</v>
      </c>
      <c r="B32">
        <v>192</v>
      </c>
      <c r="C32" t="s">
        <v>942</v>
      </c>
      <c r="D32" t="s">
        <v>273</v>
      </c>
    </row>
    <row r="33" spans="1:4" x14ac:dyDescent="0.25">
      <c r="A33" t="s">
        <v>274</v>
      </c>
      <c r="B33">
        <v>196</v>
      </c>
      <c r="C33" t="s">
        <v>275</v>
      </c>
      <c r="D33" t="s">
        <v>276</v>
      </c>
    </row>
    <row r="34" spans="1:4" x14ac:dyDescent="0.25">
      <c r="A34" t="s">
        <v>277</v>
      </c>
      <c r="B34">
        <v>200</v>
      </c>
      <c r="C34" t="s">
        <v>278</v>
      </c>
      <c r="D34" t="s">
        <v>279</v>
      </c>
    </row>
    <row r="35" spans="1:4" x14ac:dyDescent="0.25">
      <c r="A35" t="s">
        <v>280</v>
      </c>
      <c r="B35">
        <v>204</v>
      </c>
      <c r="C35" t="s">
        <v>281</v>
      </c>
      <c r="D35" t="s">
        <v>232</v>
      </c>
    </row>
    <row r="36" spans="1:4" x14ac:dyDescent="0.25">
      <c r="A36" t="s">
        <v>354</v>
      </c>
      <c r="B36">
        <v>208</v>
      </c>
      <c r="C36" t="s">
        <v>949</v>
      </c>
      <c r="D36" t="s">
        <v>336</v>
      </c>
    </row>
    <row r="37" spans="1:4" x14ac:dyDescent="0.25">
      <c r="A37" t="s">
        <v>356</v>
      </c>
      <c r="B37">
        <v>212</v>
      </c>
      <c r="C37" t="s">
        <v>357</v>
      </c>
      <c r="D37" t="s">
        <v>273</v>
      </c>
    </row>
    <row r="38" spans="1:4" x14ac:dyDescent="0.25">
      <c r="A38" s="27" t="s">
        <v>358</v>
      </c>
      <c r="B38">
        <v>216</v>
      </c>
      <c r="C38" t="s">
        <v>359</v>
      </c>
      <c r="D38" t="s">
        <v>276</v>
      </c>
    </row>
    <row r="39" spans="1:4" x14ac:dyDescent="0.25">
      <c r="A39" t="s">
        <v>455</v>
      </c>
      <c r="B39">
        <v>220</v>
      </c>
      <c r="C39" t="s">
        <v>1005</v>
      </c>
      <c r="D39" t="s">
        <v>279</v>
      </c>
    </row>
    <row r="40" spans="1:4" x14ac:dyDescent="0.25">
      <c r="A40" t="s">
        <v>950</v>
      </c>
      <c r="B40">
        <v>224</v>
      </c>
      <c r="C40" t="s">
        <v>1006</v>
      </c>
      <c r="D40" t="s">
        <v>232</v>
      </c>
    </row>
    <row r="41" spans="1:4" x14ac:dyDescent="0.25">
      <c r="A41" t="s">
        <v>1007</v>
      </c>
      <c r="B41">
        <v>228</v>
      </c>
      <c r="C41" t="s">
        <v>1008</v>
      </c>
      <c r="D41" t="s">
        <v>273</v>
      </c>
    </row>
    <row r="42" spans="1:4" x14ac:dyDescent="0.25">
      <c r="A42" t="s">
        <v>1009</v>
      </c>
      <c r="B42">
        <v>232</v>
      </c>
      <c r="C42" t="s">
        <v>1010</v>
      </c>
      <c r="D42" t="s">
        <v>276</v>
      </c>
    </row>
    <row r="43" spans="1:4" x14ac:dyDescent="0.25">
      <c r="A43" t="s">
        <v>1011</v>
      </c>
      <c r="B43">
        <v>236</v>
      </c>
      <c r="C43" t="s">
        <v>1012</v>
      </c>
      <c r="D43" t="s">
        <v>279</v>
      </c>
    </row>
    <row r="44" spans="1:4" x14ac:dyDescent="0.25">
      <c r="A44" t="s">
        <v>1013</v>
      </c>
      <c r="B44">
        <v>240</v>
      </c>
      <c r="C44" t="s">
        <v>1014</v>
      </c>
      <c r="D44" t="s">
        <v>232</v>
      </c>
    </row>
    <row r="45" spans="1:4" x14ac:dyDescent="0.25">
      <c r="A45" t="s">
        <v>1018</v>
      </c>
      <c r="B45">
        <v>244</v>
      </c>
      <c r="C45" t="s">
        <v>1019</v>
      </c>
      <c r="D45" t="s">
        <v>351</v>
      </c>
    </row>
    <row r="46" spans="1:4" x14ac:dyDescent="0.25">
      <c r="A46" t="s">
        <v>1020</v>
      </c>
      <c r="B46">
        <v>248</v>
      </c>
      <c r="C46" t="s">
        <v>1021</v>
      </c>
      <c r="D46" t="s">
        <v>351</v>
      </c>
    </row>
    <row r="47" spans="1:4" x14ac:dyDescent="0.25">
      <c r="A47" t="s">
        <v>1022</v>
      </c>
      <c r="B47">
        <v>252</v>
      </c>
      <c r="C47" t="s">
        <v>1063</v>
      </c>
      <c r="D47" t="s">
        <v>335</v>
      </c>
    </row>
    <row r="48" spans="1:4" x14ac:dyDescent="0.25">
      <c r="A48" t="s">
        <v>1035</v>
      </c>
      <c r="B48">
        <v>256</v>
      </c>
      <c r="C48" t="s">
        <v>1075</v>
      </c>
      <c r="D48" t="s">
        <v>348</v>
      </c>
    </row>
    <row r="49" spans="1:4" x14ac:dyDescent="0.25">
      <c r="A49" t="s">
        <v>1041</v>
      </c>
      <c r="B49">
        <v>260</v>
      </c>
      <c r="C49" t="s">
        <v>1064</v>
      </c>
      <c r="D49" t="s">
        <v>238</v>
      </c>
    </row>
    <row r="75" spans="1:2" x14ac:dyDescent="0.25">
      <c r="A75" t="s">
        <v>282</v>
      </c>
      <c r="B75" t="s">
        <v>282</v>
      </c>
    </row>
    <row r="76" spans="1:2" x14ac:dyDescent="0.25">
      <c r="A76" t="s">
        <v>283</v>
      </c>
      <c r="B76" t="s">
        <v>284</v>
      </c>
    </row>
    <row r="77" spans="1:2" x14ac:dyDescent="0.25">
      <c r="A77" t="s">
        <v>285</v>
      </c>
    </row>
    <row r="78" spans="1:2" x14ac:dyDescent="0.25">
      <c r="A78" s="27"/>
    </row>
    <row r="79" spans="1:2" x14ac:dyDescent="0.25">
      <c r="A79" t="s">
        <v>286</v>
      </c>
      <c r="B79" t="s">
        <v>286</v>
      </c>
    </row>
    <row r="80" spans="1:2" x14ac:dyDescent="0.25">
      <c r="A80" t="s">
        <v>287</v>
      </c>
      <c r="B80" t="s">
        <v>288</v>
      </c>
    </row>
    <row r="81" spans="1:1" x14ac:dyDescent="0.25">
      <c r="A81" t="s">
        <v>289</v>
      </c>
    </row>
    <row r="83" spans="1:1" x14ac:dyDescent="0.25">
      <c r="A83" t="s">
        <v>290</v>
      </c>
    </row>
    <row r="84" spans="1:1" x14ac:dyDescent="0.25">
      <c r="A84" t="s">
        <v>291</v>
      </c>
    </row>
    <row r="85" spans="1:1" x14ac:dyDescent="0.25">
      <c r="A85" t="s">
        <v>292</v>
      </c>
    </row>
    <row r="87" spans="1:1" x14ac:dyDescent="0.25">
      <c r="A87" t="s">
        <v>203</v>
      </c>
    </row>
    <row r="88" spans="1:1" x14ac:dyDescent="0.25">
      <c r="A88" t="s">
        <v>291</v>
      </c>
    </row>
    <row r="89" spans="1:1" x14ac:dyDescent="0.25">
      <c r="A89" t="s">
        <v>293</v>
      </c>
    </row>
    <row r="91" spans="1:1" x14ac:dyDescent="0.25">
      <c r="A91" t="s">
        <v>294</v>
      </c>
    </row>
    <row r="92" spans="1:1" x14ac:dyDescent="0.25">
      <c r="A92" t="s">
        <v>291</v>
      </c>
    </row>
    <row r="93" spans="1:1" x14ac:dyDescent="0.25">
      <c r="A93" t="s">
        <v>295</v>
      </c>
    </row>
    <row r="95" spans="1:1" x14ac:dyDescent="0.25">
      <c r="A95" t="s">
        <v>296</v>
      </c>
    </row>
    <row r="96" spans="1:1" x14ac:dyDescent="0.25">
      <c r="A96" t="s">
        <v>291</v>
      </c>
    </row>
    <row r="97" spans="1:1" x14ac:dyDescent="0.25">
      <c r="A97" t="s">
        <v>297</v>
      </c>
    </row>
    <row r="99" spans="1:1" x14ac:dyDescent="0.25">
      <c r="A99" t="s">
        <v>298</v>
      </c>
    </row>
    <row r="100" spans="1:1" x14ac:dyDescent="0.25">
      <c r="A100" t="s">
        <v>291</v>
      </c>
    </row>
    <row r="101" spans="1:1" x14ac:dyDescent="0.25">
      <c r="A101" t="s">
        <v>299</v>
      </c>
    </row>
    <row r="103" spans="1:1" x14ac:dyDescent="0.25">
      <c r="A103" t="s">
        <v>300</v>
      </c>
    </row>
    <row r="104" spans="1:1" x14ac:dyDescent="0.25">
      <c r="A104" t="s">
        <v>291</v>
      </c>
    </row>
    <row r="105" spans="1:1" x14ac:dyDescent="0.25">
      <c r="A105" t="s">
        <v>301</v>
      </c>
    </row>
    <row r="107" spans="1:1" x14ac:dyDescent="0.25">
      <c r="A107" t="s">
        <v>302</v>
      </c>
    </row>
    <row r="108" spans="1:1" x14ac:dyDescent="0.25">
      <c r="A108" t="s">
        <v>291</v>
      </c>
    </row>
    <row r="109" spans="1:1" x14ac:dyDescent="0.25">
      <c r="A109" t="s">
        <v>303</v>
      </c>
    </row>
    <row r="111" spans="1:1" x14ac:dyDescent="0.25">
      <c r="A111" t="s">
        <v>304</v>
      </c>
    </row>
    <row r="112" spans="1:1" x14ac:dyDescent="0.25">
      <c r="A112" t="s">
        <v>291</v>
      </c>
    </row>
    <row r="113" spans="1:1" x14ac:dyDescent="0.25">
      <c r="A113" t="s">
        <v>305</v>
      </c>
    </row>
    <row r="115" spans="1:1" x14ac:dyDescent="0.25">
      <c r="A115" t="s">
        <v>209</v>
      </c>
    </row>
    <row r="116" spans="1:1" x14ac:dyDescent="0.25">
      <c r="A116" t="s">
        <v>291</v>
      </c>
    </row>
    <row r="117" spans="1:1" x14ac:dyDescent="0.25">
      <c r="A117" t="s">
        <v>306</v>
      </c>
    </row>
    <row r="119" spans="1:1" x14ac:dyDescent="0.25">
      <c r="A119" t="s">
        <v>241</v>
      </c>
    </row>
    <row r="120" spans="1:1" x14ac:dyDescent="0.25">
      <c r="A120" t="s">
        <v>291</v>
      </c>
    </row>
    <row r="121" spans="1:1" x14ac:dyDescent="0.25">
      <c r="A121" t="s">
        <v>307</v>
      </c>
    </row>
    <row r="123" spans="1:1" x14ac:dyDescent="0.25">
      <c r="A123" t="s">
        <v>212</v>
      </c>
    </row>
    <row r="124" spans="1:1" x14ac:dyDescent="0.25">
      <c r="A124" t="s">
        <v>291</v>
      </c>
    </row>
    <row r="125" spans="1:1" x14ac:dyDescent="0.25">
      <c r="A125" t="s">
        <v>308</v>
      </c>
    </row>
    <row r="127" spans="1:1" x14ac:dyDescent="0.25">
      <c r="A127" t="s">
        <v>309</v>
      </c>
    </row>
    <row r="128" spans="1:1" x14ac:dyDescent="0.25">
      <c r="A128" t="s">
        <v>310</v>
      </c>
    </row>
    <row r="129" spans="1:2" x14ac:dyDescent="0.25">
      <c r="A129" s="118" t="s">
        <v>311</v>
      </c>
    </row>
    <row r="131" spans="1:2" x14ac:dyDescent="0.25">
      <c r="A131" t="s">
        <v>312</v>
      </c>
      <c r="B131" t="s">
        <v>313</v>
      </c>
    </row>
    <row r="132" spans="1:2" x14ac:dyDescent="0.25">
      <c r="A132" t="s">
        <v>310</v>
      </c>
      <c r="B132" t="str">
        <f>"=Benefit not given"</f>
        <v>=Benefit not given</v>
      </c>
    </row>
    <row r="133" spans="1:2" x14ac:dyDescent="0.25">
      <c r="A133" t="s">
        <v>314</v>
      </c>
    </row>
    <row r="135" spans="1:2" x14ac:dyDescent="0.25">
      <c r="A135" t="s">
        <v>313</v>
      </c>
      <c r="B135" t="s">
        <v>315</v>
      </c>
    </row>
    <row r="136" spans="1:2" x14ac:dyDescent="0.25">
      <c r="A136" t="str">
        <f>"=Benefit not given"</f>
        <v>=Benefit not given</v>
      </c>
      <c r="B136" t="s">
        <v>291</v>
      </c>
    </row>
    <row r="137" spans="1:2" x14ac:dyDescent="0.25">
      <c r="A137" t="s">
        <v>316</v>
      </c>
    </row>
    <row r="139" spans="1:2" x14ac:dyDescent="0.25">
      <c r="A139" t="s">
        <v>313</v>
      </c>
      <c r="B139" t="s">
        <v>317</v>
      </c>
    </row>
    <row r="140" spans="1:2" x14ac:dyDescent="0.25">
      <c r="A140" t="str">
        <f>"=Benefit not given"</f>
        <v>=Benefit not given</v>
      </c>
      <c r="B140" t="s">
        <v>291</v>
      </c>
    </row>
    <row r="141" spans="1:2" x14ac:dyDescent="0.25">
      <c r="A141" t="s">
        <v>318</v>
      </c>
    </row>
    <row r="143" spans="1:2" x14ac:dyDescent="0.25">
      <c r="A143" t="s">
        <v>312</v>
      </c>
      <c r="B143" t="s">
        <v>313</v>
      </c>
    </row>
    <row r="144" spans="1:2" x14ac:dyDescent="0.25">
      <c r="A144" t="s">
        <v>310</v>
      </c>
      <c r="B144" t="str">
        <f>"=House to Non full time service Director"</f>
        <v>=House to Non full time service Director</v>
      </c>
    </row>
    <row r="145" spans="1:2" x14ac:dyDescent="0.25">
      <c r="A145" t="s">
        <v>319</v>
      </c>
    </row>
    <row r="147" spans="1:2" x14ac:dyDescent="0.25">
      <c r="A147" t="s">
        <v>313</v>
      </c>
      <c r="B147" t="s">
        <v>315</v>
      </c>
    </row>
    <row r="148" spans="1:2" x14ac:dyDescent="0.25">
      <c r="A148" t="str">
        <f>"=House to Non full time service Director"</f>
        <v>=House to Non full time service Director</v>
      </c>
      <c r="B148" t="s">
        <v>291</v>
      </c>
    </row>
    <row r="149" spans="1:2" x14ac:dyDescent="0.25">
      <c r="A149" t="s">
        <v>320</v>
      </c>
    </row>
    <row r="151" spans="1:2" x14ac:dyDescent="0.25">
      <c r="A151" t="s">
        <v>313</v>
      </c>
      <c r="B151" t="s">
        <v>317</v>
      </c>
    </row>
    <row r="152" spans="1:2" x14ac:dyDescent="0.25">
      <c r="A152" t="str">
        <f>"=House to Non full time service Director"</f>
        <v>=House to Non full time service Director</v>
      </c>
      <c r="B152" t="s">
        <v>291</v>
      </c>
    </row>
    <row r="153" spans="1:2" x14ac:dyDescent="0.25">
      <c r="A153" t="s">
        <v>321</v>
      </c>
    </row>
    <row r="155" spans="1:2" x14ac:dyDescent="0.25">
      <c r="A155" t="s">
        <v>313</v>
      </c>
      <c r="B155" t="s">
        <v>315</v>
      </c>
    </row>
    <row r="156" spans="1:2" x14ac:dyDescent="0.25">
      <c r="A156" t="s">
        <v>323</v>
      </c>
      <c r="B156" t="s">
        <v>310</v>
      </c>
    </row>
    <row r="157" spans="1:2" x14ac:dyDescent="0.25">
      <c r="A157" t="s">
        <v>322</v>
      </c>
    </row>
    <row r="159" spans="1:2" x14ac:dyDescent="0.25">
      <c r="A159" t="s">
        <v>313</v>
      </c>
      <c r="B159" t="s">
        <v>317</v>
      </c>
    </row>
    <row r="160" spans="1:2" x14ac:dyDescent="0.25">
      <c r="A160" t="s">
        <v>323</v>
      </c>
      <c r="B160" t="s">
        <v>310</v>
      </c>
    </row>
    <row r="161" spans="1:2" x14ac:dyDescent="0.25">
      <c r="A161" t="s">
        <v>324</v>
      </c>
    </row>
    <row r="163" spans="1:2" x14ac:dyDescent="0.25">
      <c r="A163" t="s">
        <v>312</v>
      </c>
      <c r="B163" t="s">
        <v>313</v>
      </c>
    </row>
    <row r="164" spans="1:2" x14ac:dyDescent="0.25">
      <c r="A164" t="s">
        <v>291</v>
      </c>
      <c r="B164" t="s">
        <v>323</v>
      </c>
    </row>
    <row r="165" spans="1:2" x14ac:dyDescent="0.25">
      <c r="A165" t="s">
        <v>325</v>
      </c>
    </row>
    <row r="167" spans="1:2" x14ac:dyDescent="0.25">
      <c r="A167" t="s">
        <v>313</v>
      </c>
      <c r="B167" t="s">
        <v>315</v>
      </c>
    </row>
    <row r="168" spans="1:2" x14ac:dyDescent="0.25">
      <c r="A168" t="s">
        <v>436</v>
      </c>
      <c r="B168" t="s">
        <v>310</v>
      </c>
    </row>
    <row r="169" spans="1:2" x14ac:dyDescent="0.25">
      <c r="A169" t="s">
        <v>326</v>
      </c>
    </row>
    <row r="171" spans="1:2" x14ac:dyDescent="0.25">
      <c r="A171" t="s">
        <v>313</v>
      </c>
      <c r="B171" t="s">
        <v>317</v>
      </c>
    </row>
    <row r="172" spans="1:2" x14ac:dyDescent="0.25">
      <c r="A172" t="s">
        <v>436</v>
      </c>
      <c r="B172" t="s">
        <v>310</v>
      </c>
    </row>
    <row r="173" spans="1:2" x14ac:dyDescent="0.25">
      <c r="A173" t="s">
        <v>327</v>
      </c>
    </row>
    <row r="175" spans="1:2" x14ac:dyDescent="0.25">
      <c r="A175" t="s">
        <v>312</v>
      </c>
      <c r="B175" t="s">
        <v>313</v>
      </c>
    </row>
    <row r="176" spans="1:2" x14ac:dyDescent="0.25">
      <c r="A176" s="118" t="s">
        <v>291</v>
      </c>
      <c r="B176" t="s">
        <v>436</v>
      </c>
    </row>
    <row r="177" spans="1:3" x14ac:dyDescent="0.25">
      <c r="A177" t="s">
        <v>328</v>
      </c>
    </row>
    <row r="179" spans="1:3" x14ac:dyDescent="0.25">
      <c r="A179" t="s">
        <v>312</v>
      </c>
      <c r="B179" t="s">
        <v>313</v>
      </c>
    </row>
    <row r="180" spans="1:3" x14ac:dyDescent="0.25">
      <c r="A180" t="s">
        <v>291</v>
      </c>
      <c r="B180" t="str">
        <f>"=Agriculture Farm"</f>
        <v>=Agriculture Farm</v>
      </c>
    </row>
    <row r="181" spans="1:3" x14ac:dyDescent="0.25">
      <c r="A181" t="s">
        <v>329</v>
      </c>
    </row>
    <row r="183" spans="1:3" x14ac:dyDescent="0.25">
      <c r="A183" t="s">
        <v>313</v>
      </c>
      <c r="B183" t="s">
        <v>315</v>
      </c>
    </row>
    <row r="184" spans="1:3" x14ac:dyDescent="0.25">
      <c r="A184" t="str">
        <f>"=Agriculture Farm"</f>
        <v>=Agriculture Farm</v>
      </c>
      <c r="B184" t="s">
        <v>291</v>
      </c>
    </row>
    <row r="185" spans="1:3" x14ac:dyDescent="0.25">
      <c r="A185" t="s">
        <v>330</v>
      </c>
    </row>
    <row r="186" spans="1:3" x14ac:dyDescent="0.25">
      <c r="A186" s="26"/>
    </row>
    <row r="187" spans="1:3" x14ac:dyDescent="0.25">
      <c r="A187" t="s">
        <v>313</v>
      </c>
      <c r="B187" t="s">
        <v>317</v>
      </c>
    </row>
    <row r="188" spans="1:3" x14ac:dyDescent="0.25">
      <c r="A188" t="str">
        <f>"=Agriculture Farm"</f>
        <v>=Agriculture Farm</v>
      </c>
      <c r="B188" t="s">
        <v>291</v>
      </c>
    </row>
    <row r="189" spans="1:3" x14ac:dyDescent="0.25">
      <c r="A189" t="s">
        <v>331</v>
      </c>
    </row>
    <row r="191" spans="1:3" x14ac:dyDescent="0.25">
      <c r="A191" t="s">
        <v>282</v>
      </c>
      <c r="B191" t="s">
        <v>286</v>
      </c>
      <c r="C191" t="s">
        <v>332</v>
      </c>
    </row>
    <row r="192" spans="1:3" x14ac:dyDescent="0.25">
      <c r="A192" t="str">
        <f>"=Resident"</f>
        <v>=Resident</v>
      </c>
      <c r="B192" t="str">
        <f>"Primary Employee"</f>
        <v>Primary Employee</v>
      </c>
      <c r="C192" t="s">
        <v>310</v>
      </c>
    </row>
    <row r="193" spans="1:5" x14ac:dyDescent="0.25">
      <c r="A193" t="s">
        <v>333</v>
      </c>
    </row>
    <row r="195" spans="1:5" x14ac:dyDescent="0.25">
      <c r="A195" t="s">
        <v>282</v>
      </c>
      <c r="B195" t="s">
        <v>286</v>
      </c>
      <c r="C195" t="s">
        <v>206</v>
      </c>
    </row>
    <row r="196" spans="1:5" x14ac:dyDescent="0.25">
      <c r="A196" t="str">
        <f>"=Resident"</f>
        <v>=Resident</v>
      </c>
      <c r="B196" t="str">
        <f>"=Primary Employee"</f>
        <v>=Primary Employee</v>
      </c>
      <c r="C196" t="s">
        <v>310</v>
      </c>
    </row>
    <row r="197" spans="1:5" x14ac:dyDescent="0.25">
      <c r="A197" t="s">
        <v>334</v>
      </c>
    </row>
    <row r="199" spans="1:5" x14ac:dyDescent="0.25">
      <c r="A199" t="s">
        <v>282</v>
      </c>
      <c r="B199" t="s">
        <v>286</v>
      </c>
      <c r="C199" t="s">
        <v>335</v>
      </c>
    </row>
    <row r="200" spans="1:5" x14ac:dyDescent="0.25">
      <c r="A200" t="str">
        <f>"=Resident"</f>
        <v>=Resident</v>
      </c>
      <c r="B200" t="str">
        <f>"=Primary Employee"</f>
        <v>=Primary Employee</v>
      </c>
      <c r="C200" t="str">
        <f>IF(RtnInf.RtnPrdFrom&lt;&gt;"",IF(MID(RtnInf.RtnPrdFrom,7,4)&lt;"2021","=",IF(OR(AND(MID(RtnInf.RtnPrdFrom,7,4)="2024",MID(RtnInf.RtnPrdFrom,4,2)&gt;="03"),MID(RtnInf.RtnPrdFrom,7,4)&gt;"2024"),"=","&lt;&gt;")),"")</f>
        <v/>
      </c>
    </row>
    <row r="201" spans="1:5" x14ac:dyDescent="0.25">
      <c r="A201" t="str">
        <f>IF(RtnInf.RtnPrdFrom&lt;&gt;"",IF(MID(RtnInf.RtnPrdFrom,7,4)&lt;"2021","As 'Residential Status' contains 'Resident' and 'Type' contains 'Primary Employee', 'Deposit on Home Ownership Saving Plan (N)' should contain value in following row(s): ",IF(OR(AND(MID(RtnInf.RtnPrdFrom,7,4)="2024",MID(RtnInf.RtnPrdFrom,4,2)&gt;="03"),MID(RtnInf.RtnPrdFrom,7,4)&gt;"2024"),"As 'Residential Status' contains 'Resident' and 'Type' contains 'Primary Employee', 'Affordable Housing Relief (N)' should contain value in following row(s): ","As 'Residential Status' contains 'Resident' and 'Type' contains 'Primary Employee', 'Deposit on Home Ownership Saving Plan (N)' should be blank in following row(s):")),"")</f>
        <v/>
      </c>
    </row>
    <row r="203" spans="1:5" x14ac:dyDescent="0.25">
      <c r="A203" t="s">
        <v>282</v>
      </c>
      <c r="B203" t="s">
        <v>286</v>
      </c>
      <c r="C203" t="s">
        <v>336</v>
      </c>
    </row>
    <row r="204" spans="1:5" x14ac:dyDescent="0.25">
      <c r="A204" t="str">
        <f>"=Resident"</f>
        <v>=Resident</v>
      </c>
      <c r="B204" t="str">
        <f>"=Primary Employee"</f>
        <v>=Primary Employee</v>
      </c>
      <c r="C204" t="s">
        <v>310</v>
      </c>
    </row>
    <row r="205" spans="1:5" x14ac:dyDescent="0.25">
      <c r="A205" t="s">
        <v>337</v>
      </c>
    </row>
    <row r="207" spans="1:5" x14ac:dyDescent="0.25">
      <c r="A207" t="s">
        <v>313</v>
      </c>
      <c r="B207" t="s">
        <v>313</v>
      </c>
      <c r="C207" t="s">
        <v>313</v>
      </c>
      <c r="D207" t="s">
        <v>313</v>
      </c>
      <c r="E207" t="s">
        <v>313</v>
      </c>
    </row>
    <row r="208" spans="1:5" x14ac:dyDescent="0.25">
      <c r="A208" t="s">
        <v>943</v>
      </c>
      <c r="B208" t="s">
        <v>944</v>
      </c>
      <c r="C208" t="s">
        <v>945</v>
      </c>
      <c r="D208" t="s">
        <v>946</v>
      </c>
      <c r="E208" t="s">
        <v>947</v>
      </c>
    </row>
    <row r="209" spans="1:3" x14ac:dyDescent="0.25">
      <c r="A209" t="s">
        <v>948</v>
      </c>
    </row>
    <row r="211" spans="1:3" x14ac:dyDescent="0.25">
      <c r="A211" t="s">
        <v>282</v>
      </c>
      <c r="B211" t="s">
        <v>286</v>
      </c>
      <c r="C211" t="s">
        <v>332</v>
      </c>
    </row>
    <row r="212" spans="1:3" x14ac:dyDescent="0.25">
      <c r="A212" t="str">
        <f>"=Non-Resident"</f>
        <v>=Non-Resident</v>
      </c>
      <c r="B212" t="str">
        <f>"=Primary Employee"</f>
        <v>=Primary Employee</v>
      </c>
      <c r="C212" t="s">
        <v>291</v>
      </c>
    </row>
    <row r="213" spans="1:3" x14ac:dyDescent="0.25">
      <c r="A213" t="s">
        <v>1048</v>
      </c>
    </row>
    <row r="215" spans="1:3" x14ac:dyDescent="0.25">
      <c r="A215" t="s">
        <v>282</v>
      </c>
      <c r="B215" t="s">
        <v>286</v>
      </c>
      <c r="C215" t="s">
        <v>206</v>
      </c>
    </row>
    <row r="216" spans="1:3" x14ac:dyDescent="0.25">
      <c r="A216" t="str">
        <f>"=Non-Resident"</f>
        <v>=Non-Resident</v>
      </c>
      <c r="B216" t="str">
        <f>"=Primary Employee"</f>
        <v>=Primary Employee</v>
      </c>
      <c r="C216" t="s">
        <v>310</v>
      </c>
    </row>
    <row r="217" spans="1:3" x14ac:dyDescent="0.25">
      <c r="A217" t="s">
        <v>1049</v>
      </c>
    </row>
    <row r="219" spans="1:3" x14ac:dyDescent="0.25">
      <c r="A219" t="s">
        <v>282</v>
      </c>
      <c r="B219" t="s">
        <v>286</v>
      </c>
      <c r="C219" t="s">
        <v>335</v>
      </c>
    </row>
    <row r="220" spans="1:3" x14ac:dyDescent="0.25">
      <c r="A220" t="str">
        <f>"=Non-Resident"</f>
        <v>=Non-Resident</v>
      </c>
      <c r="B220" t="str">
        <f>"=Primary Employee"</f>
        <v>=Primary Employee</v>
      </c>
      <c r="C220" t="str">
        <f>IF(RtnInf.RtnPrdFrom&lt;&gt;"",IF(MID(RtnInf.RtnPrdFrom,7,4)&lt;"2021","=",IF(OR(AND(MID(RtnInf.RtnPrdFrom,7,4)="2024",MID(RtnInf.RtnPrdFrom,4,2)&gt;="03"),MID(RtnInf.RtnPrdFrom,7,4)&gt;"2024"),"=","&lt;&gt;")),"")</f>
        <v/>
      </c>
    </row>
    <row r="221" spans="1:3" x14ac:dyDescent="0.25">
      <c r="A221" t="str">
        <f>IF(RtnInf.RtnPrdFrom&lt;&gt;"",IF(MID(RtnInf.RtnPrdFrom,7,4)&lt;"2021","As 'Residential Status' contains 'Non-Resident' and 'Type' contains 'Primary Employee', 'Deposit on Home Ownership Saving Plan (N)' should contain value in following row(s): ",IF(OR(AND(MID(RtnInf.RtnPrdFrom,7,4)="2024",MID(RtnInf.RtnPrdFrom,4,2)&gt;="03"),MID(RtnInf.RtnPrdFrom,7,4)&gt;"2024"),"As 'Residential Status' contains 'Non-Resident' and 'Type' contains 'Primary Employee', 'Affordable Housing Relief (N)' should contain value in following row(s): ","As 'Residential Status' contains 'Non-Resident' and 'Type' contains 'Primary Employee', 'Deposit on Home Ownership Saving Plan (N)' should be blank in following row(s):")),"")</f>
        <v/>
      </c>
    </row>
    <row r="223" spans="1:3" x14ac:dyDescent="0.25">
      <c r="A223" t="s">
        <v>282</v>
      </c>
      <c r="B223" t="s">
        <v>286</v>
      </c>
      <c r="C223" t="s">
        <v>336</v>
      </c>
    </row>
    <row r="224" spans="1:3" x14ac:dyDescent="0.25">
      <c r="A224" s="27" t="str">
        <f>"=Non-Resident"</f>
        <v>=Non-Resident</v>
      </c>
      <c r="B224" t="str">
        <f>"=Primary Employee"</f>
        <v>=Primary Employee</v>
      </c>
      <c r="C224" t="s">
        <v>291</v>
      </c>
    </row>
    <row r="225" spans="1:2" x14ac:dyDescent="0.25">
      <c r="A225" t="s">
        <v>1050</v>
      </c>
    </row>
    <row r="227" spans="1:2" x14ac:dyDescent="0.25">
      <c r="A227" t="s">
        <v>286</v>
      </c>
      <c r="B227" t="s">
        <v>332</v>
      </c>
    </row>
    <row r="228" spans="1:2" x14ac:dyDescent="0.25">
      <c r="A228" t="str">
        <f>"=Secondary Employee"</f>
        <v>=Secondary Employee</v>
      </c>
      <c r="B228" t="s">
        <v>291</v>
      </c>
    </row>
    <row r="229" spans="1:2" x14ac:dyDescent="0.25">
      <c r="A229" t="s">
        <v>1015</v>
      </c>
    </row>
    <row r="231" spans="1:2" x14ac:dyDescent="0.25">
      <c r="A231" t="s">
        <v>286</v>
      </c>
      <c r="B231" t="s">
        <v>206</v>
      </c>
    </row>
    <row r="232" spans="1:2" x14ac:dyDescent="0.25">
      <c r="A232" t="str">
        <f>"=Secondary Employee"</f>
        <v>=Secondary Employee</v>
      </c>
      <c r="B232" t="s">
        <v>291</v>
      </c>
    </row>
    <row r="233" spans="1:2" x14ac:dyDescent="0.25">
      <c r="A233" t="s">
        <v>1016</v>
      </c>
    </row>
    <row r="235" spans="1:2" x14ac:dyDescent="0.25">
      <c r="A235" t="s">
        <v>286</v>
      </c>
      <c r="B235" t="s">
        <v>335</v>
      </c>
    </row>
    <row r="236" spans="1:2" x14ac:dyDescent="0.25">
      <c r="A236" t="str">
        <f>"=Secondary Employee"</f>
        <v>=Secondary Employee</v>
      </c>
      <c r="B236" t="str">
        <f>IF(RtnInf.RtnPrdFrom&lt;&gt;"",IF(OR(AND(MID(RtnInf.RtnPrdFrom,7,4)="2024",MID(RtnInf.RtnPrdFrom,4,2)&gt;="03"),MID(RtnInf.RtnPrdFrom,7,4)&gt;"2024"),"=","&lt;&gt;"),"")</f>
        <v/>
      </c>
    </row>
    <row r="237" spans="1:2" x14ac:dyDescent="0.25">
      <c r="A237" t="str">
        <f>IF(RtnInf.RtnPrdFrom&lt;&gt;"",IF(OR(AND(MID(RtnInf.RtnPrdFrom,7,4)="2024",MID(RtnInf.RtnPrdFrom,4,2)&gt;="03"),MID(RtnInf.RtnPrdFrom,7,4)&gt;"2024"),"As 'Type' contains 'Secondary Employee', 'Affordable Housing Relief (N)' should be blank in following row(s): ","As 'Type' contains 'Secondary Employee', 'Deposit on Home Ownership Saving Plan (N)' should be blank in following row(s): "),"")</f>
        <v/>
      </c>
    </row>
    <row r="239" spans="1:2" x14ac:dyDescent="0.25">
      <c r="A239" t="s">
        <v>286</v>
      </c>
      <c r="B239" t="s">
        <v>336</v>
      </c>
    </row>
    <row r="240" spans="1:2" x14ac:dyDescent="0.25">
      <c r="A240" t="str">
        <f>"=Secondary Employee"</f>
        <v>=Secondary Employee</v>
      </c>
      <c r="B240" t="s">
        <v>291</v>
      </c>
    </row>
    <row r="241" spans="1:2" x14ac:dyDescent="0.25">
      <c r="A241" t="s">
        <v>1017</v>
      </c>
    </row>
    <row r="243" spans="1:2" x14ac:dyDescent="0.25">
      <c r="A243" t="s">
        <v>282</v>
      </c>
      <c r="B243" t="s">
        <v>133</v>
      </c>
    </row>
    <row r="244" spans="1:2" x14ac:dyDescent="0.25">
      <c r="A244" t="str">
        <f>"=Resident"</f>
        <v>=Resident</v>
      </c>
      <c r="B244" t="s">
        <v>310</v>
      </c>
    </row>
    <row r="245" spans="1:2" x14ac:dyDescent="0.25">
      <c r="A245" t="s">
        <v>1039</v>
      </c>
    </row>
    <row r="247" spans="1:2" x14ac:dyDescent="0.25">
      <c r="A247" t="s">
        <v>282</v>
      </c>
      <c r="B247" t="s">
        <v>133</v>
      </c>
    </row>
    <row r="248" spans="1:2" x14ac:dyDescent="0.25">
      <c r="A248" t="str">
        <f>"=Non-Resident"</f>
        <v>=Non-Resident</v>
      </c>
      <c r="B248" t="s">
        <v>291</v>
      </c>
    </row>
    <row r="249" spans="1:2" x14ac:dyDescent="0.25">
      <c r="A249" t="s">
        <v>1051</v>
      </c>
    </row>
    <row r="251" spans="1:2" x14ac:dyDescent="0.25">
      <c r="A251" t="s">
        <v>1061</v>
      </c>
    </row>
    <row r="252" spans="1:2" x14ac:dyDescent="0.25">
      <c r="A252" t="s">
        <v>310</v>
      </c>
    </row>
    <row r="253" spans="1:2" x14ac:dyDescent="0.25">
      <c r="A253" t="s">
        <v>1062</v>
      </c>
    </row>
    <row r="255" spans="1:2" x14ac:dyDescent="0.25">
      <c r="A255" t="s">
        <v>339</v>
      </c>
    </row>
    <row r="256" spans="1:2" x14ac:dyDescent="0.25">
      <c r="A256" t="str">
        <f>"=???????????????????????????????????????????????????*"</f>
        <v>=???????????????????????????????????????????????????*</v>
      </c>
    </row>
    <row r="257" spans="1:35" x14ac:dyDescent="0.25">
      <c r="A257" t="s">
        <v>1078</v>
      </c>
    </row>
    <row r="259" spans="1:35" x14ac:dyDescent="0.25">
      <c r="A259" t="s">
        <v>1091</v>
      </c>
    </row>
    <row r="260" spans="1:35" x14ac:dyDescent="0.25">
      <c r="A260" t="s">
        <v>996</v>
      </c>
    </row>
    <row r="261" spans="1:35" x14ac:dyDescent="0.25">
      <c r="A261" s="118" t="s">
        <v>1092</v>
      </c>
    </row>
    <row r="263" spans="1:35" x14ac:dyDescent="0.25">
      <c r="A263" t="s">
        <v>338</v>
      </c>
      <c r="B263" t="s">
        <v>339</v>
      </c>
      <c r="C263" t="s">
        <v>282</v>
      </c>
      <c r="D263" t="s">
        <v>286</v>
      </c>
      <c r="E263" t="s">
        <v>340</v>
      </c>
      <c r="F263" t="s">
        <v>341</v>
      </c>
      <c r="G263" t="s">
        <v>342</v>
      </c>
      <c r="H263" t="s">
        <v>343</v>
      </c>
      <c r="I263" t="s">
        <v>344</v>
      </c>
      <c r="J263" t="s">
        <v>345</v>
      </c>
      <c r="K263" t="s">
        <v>346</v>
      </c>
      <c r="L263" t="s">
        <v>347</v>
      </c>
      <c r="M263" t="s">
        <v>290</v>
      </c>
      <c r="N263" t="s">
        <v>1061</v>
      </c>
      <c r="O263" t="s">
        <v>125</v>
      </c>
      <c r="P263" t="s">
        <v>203</v>
      </c>
      <c r="Q263" t="s">
        <v>312</v>
      </c>
      <c r="R263" t="s">
        <v>313</v>
      </c>
      <c r="S263" t="s">
        <v>315</v>
      </c>
      <c r="T263" t="s">
        <v>294</v>
      </c>
      <c r="U263" t="s">
        <v>317</v>
      </c>
      <c r="V263" t="s">
        <v>296</v>
      </c>
      <c r="W263" t="s">
        <v>298</v>
      </c>
      <c r="X263" t="s">
        <v>300</v>
      </c>
      <c r="Y263" t="s">
        <v>332</v>
      </c>
      <c r="Z263" t="s">
        <v>302</v>
      </c>
      <c r="AA263" t="s">
        <v>206</v>
      </c>
      <c r="AB263" t="s">
        <v>335</v>
      </c>
      <c r="AC263" t="s">
        <v>304</v>
      </c>
      <c r="AD263" t="s">
        <v>209</v>
      </c>
      <c r="AE263" t="s">
        <v>241</v>
      </c>
      <c r="AF263" t="s">
        <v>336</v>
      </c>
      <c r="AG263" t="s">
        <v>133</v>
      </c>
      <c r="AH263" t="s">
        <v>212</v>
      </c>
      <c r="AI263" t="s">
        <v>132</v>
      </c>
    </row>
    <row r="305" spans="1:4" x14ac:dyDescent="0.25">
      <c r="A305" t="s">
        <v>349</v>
      </c>
    </row>
    <row r="306" spans="1:4" x14ac:dyDescent="0.25">
      <c r="A306" t="s">
        <v>195</v>
      </c>
      <c r="B306" t="s">
        <v>196</v>
      </c>
      <c r="C306" t="s">
        <v>197</v>
      </c>
      <c r="D306" t="s">
        <v>198</v>
      </c>
    </row>
    <row r="307" spans="1:4" x14ac:dyDescent="0.25">
      <c r="A307" t="s">
        <v>199</v>
      </c>
      <c r="B307">
        <v>370</v>
      </c>
      <c r="C307" t="s">
        <v>200</v>
      </c>
      <c r="D307" t="s">
        <v>125</v>
      </c>
    </row>
    <row r="308" spans="1:4" x14ac:dyDescent="0.25">
      <c r="A308" t="s">
        <v>201</v>
      </c>
      <c r="B308">
        <v>374</v>
      </c>
      <c r="C308" t="s">
        <v>202</v>
      </c>
      <c r="D308" t="s">
        <v>203</v>
      </c>
    </row>
    <row r="309" spans="1:4" x14ac:dyDescent="0.25">
      <c r="A309" t="s">
        <v>204</v>
      </c>
      <c r="B309">
        <v>378</v>
      </c>
      <c r="C309" t="s">
        <v>205</v>
      </c>
      <c r="D309" t="s">
        <v>335</v>
      </c>
    </row>
    <row r="310" spans="1:4" x14ac:dyDescent="0.25">
      <c r="A310" t="s">
        <v>207</v>
      </c>
      <c r="B310">
        <v>382</v>
      </c>
      <c r="C310" t="s">
        <v>208</v>
      </c>
      <c r="D310" t="s">
        <v>241</v>
      </c>
    </row>
    <row r="311" spans="1:4" x14ac:dyDescent="0.25">
      <c r="A311" t="s">
        <v>210</v>
      </c>
      <c r="B311">
        <v>386</v>
      </c>
      <c r="C311" t="s">
        <v>211</v>
      </c>
      <c r="D311" t="s">
        <v>135</v>
      </c>
    </row>
    <row r="312" spans="1:4" x14ac:dyDescent="0.25">
      <c r="A312" t="s">
        <v>213</v>
      </c>
      <c r="B312">
        <v>390</v>
      </c>
      <c r="C312" t="s">
        <v>214</v>
      </c>
      <c r="D312" t="s">
        <v>220</v>
      </c>
    </row>
    <row r="313" spans="1:4" x14ac:dyDescent="0.25">
      <c r="A313" t="s">
        <v>216</v>
      </c>
      <c r="B313">
        <v>394</v>
      </c>
      <c r="C313" t="s">
        <v>217</v>
      </c>
      <c r="D313" t="s">
        <v>273</v>
      </c>
    </row>
    <row r="314" spans="1:4" x14ac:dyDescent="0.25">
      <c r="A314" t="s">
        <v>218</v>
      </c>
      <c r="B314">
        <v>398</v>
      </c>
      <c r="C314" t="s">
        <v>219</v>
      </c>
      <c r="D314" t="s">
        <v>276</v>
      </c>
    </row>
    <row r="315" spans="1:4" x14ac:dyDescent="0.25">
      <c r="A315" t="s">
        <v>221</v>
      </c>
      <c r="B315">
        <v>402</v>
      </c>
      <c r="C315" t="s">
        <v>222</v>
      </c>
      <c r="D315" t="s">
        <v>229</v>
      </c>
    </row>
    <row r="316" spans="1:4" x14ac:dyDescent="0.25">
      <c r="A316" t="s">
        <v>224</v>
      </c>
      <c r="B316">
        <v>404</v>
      </c>
      <c r="C316" t="s">
        <v>225</v>
      </c>
      <c r="D316" t="s">
        <v>350</v>
      </c>
    </row>
    <row r="317" spans="1:4" x14ac:dyDescent="0.25">
      <c r="A317" t="s">
        <v>227</v>
      </c>
      <c r="B317">
        <v>410</v>
      </c>
      <c r="C317" t="s">
        <v>228</v>
      </c>
      <c r="D317" t="s">
        <v>232</v>
      </c>
    </row>
    <row r="318" spans="1:4" x14ac:dyDescent="0.25">
      <c r="A318" t="s">
        <v>230</v>
      </c>
      <c r="B318">
        <v>414</v>
      </c>
      <c r="C318" t="s">
        <v>231</v>
      </c>
      <c r="D318" t="s">
        <v>351</v>
      </c>
    </row>
    <row r="319" spans="1:4" x14ac:dyDescent="0.25">
      <c r="A319" t="s">
        <v>233</v>
      </c>
      <c r="B319">
        <v>418</v>
      </c>
      <c r="C319" t="s">
        <v>234</v>
      </c>
      <c r="D319" t="s">
        <v>352</v>
      </c>
    </row>
    <row r="320" spans="1:4" x14ac:dyDescent="0.25">
      <c r="A320" t="s">
        <v>236</v>
      </c>
      <c r="B320">
        <v>422</v>
      </c>
      <c r="C320" t="s">
        <v>237</v>
      </c>
      <c r="D320" t="s">
        <v>238</v>
      </c>
    </row>
    <row r="321" spans="1:4" x14ac:dyDescent="0.25">
      <c r="A321" t="s">
        <v>239</v>
      </c>
      <c r="B321">
        <v>426</v>
      </c>
      <c r="C321" t="s">
        <v>240</v>
      </c>
      <c r="D321" t="s">
        <v>353</v>
      </c>
    </row>
    <row r="322" spans="1:4" x14ac:dyDescent="0.25">
      <c r="A322" t="s">
        <v>242</v>
      </c>
      <c r="B322">
        <v>430</v>
      </c>
      <c r="C322" t="s">
        <v>243</v>
      </c>
      <c r="D322" t="s">
        <v>212</v>
      </c>
    </row>
    <row r="323" spans="1:4" x14ac:dyDescent="0.25">
      <c r="A323" t="s">
        <v>244</v>
      </c>
      <c r="B323">
        <v>434</v>
      </c>
      <c r="C323" t="s">
        <v>245</v>
      </c>
      <c r="D323" t="s">
        <v>215</v>
      </c>
    </row>
    <row r="324" spans="1:4" x14ac:dyDescent="0.25">
      <c r="A324" t="s">
        <v>247</v>
      </c>
      <c r="B324">
        <v>438</v>
      </c>
      <c r="C324" t="s">
        <v>248</v>
      </c>
      <c r="D324" t="s">
        <v>336</v>
      </c>
    </row>
    <row r="325" spans="1:4" x14ac:dyDescent="0.25">
      <c r="A325" t="s">
        <v>249</v>
      </c>
      <c r="B325">
        <v>442</v>
      </c>
      <c r="C325" t="s">
        <v>250</v>
      </c>
      <c r="D325" t="s">
        <v>212</v>
      </c>
    </row>
    <row r="326" spans="1:4" x14ac:dyDescent="0.25">
      <c r="A326" t="s">
        <v>251</v>
      </c>
      <c r="B326">
        <v>446</v>
      </c>
      <c r="C326" t="s">
        <v>252</v>
      </c>
      <c r="D326" t="s">
        <v>215</v>
      </c>
    </row>
    <row r="327" spans="1:4" x14ac:dyDescent="0.25">
      <c r="A327" t="s">
        <v>253</v>
      </c>
      <c r="B327">
        <v>450</v>
      </c>
      <c r="C327" t="s">
        <v>254</v>
      </c>
      <c r="D327" t="s">
        <v>212</v>
      </c>
    </row>
    <row r="328" spans="1:4" x14ac:dyDescent="0.25">
      <c r="A328" t="s">
        <v>255</v>
      </c>
      <c r="B328">
        <v>454</v>
      </c>
      <c r="C328" t="s">
        <v>256</v>
      </c>
      <c r="D328" t="s">
        <v>215</v>
      </c>
    </row>
    <row r="329" spans="1:4" x14ac:dyDescent="0.25">
      <c r="A329" t="s">
        <v>257</v>
      </c>
      <c r="B329">
        <v>458</v>
      </c>
      <c r="C329" t="s">
        <v>258</v>
      </c>
      <c r="D329" t="s">
        <v>336</v>
      </c>
    </row>
    <row r="330" spans="1:4" x14ac:dyDescent="0.25">
      <c r="A330" t="s">
        <v>259</v>
      </c>
      <c r="B330">
        <v>462</v>
      </c>
      <c r="C330" t="s">
        <v>260</v>
      </c>
      <c r="D330" t="s">
        <v>212</v>
      </c>
    </row>
    <row r="331" spans="1:4" x14ac:dyDescent="0.25">
      <c r="A331" t="s">
        <v>261</v>
      </c>
      <c r="B331">
        <v>466</v>
      </c>
      <c r="C331" t="s">
        <v>262</v>
      </c>
      <c r="D331" t="s">
        <v>215</v>
      </c>
    </row>
    <row r="332" spans="1:4" x14ac:dyDescent="0.25">
      <c r="A332" t="s">
        <v>263</v>
      </c>
      <c r="B332">
        <v>470</v>
      </c>
      <c r="C332" t="s">
        <v>264</v>
      </c>
      <c r="D332" t="s">
        <v>336</v>
      </c>
    </row>
    <row r="333" spans="1:4" x14ac:dyDescent="0.25">
      <c r="A333" t="s">
        <v>265</v>
      </c>
      <c r="B333">
        <v>474</v>
      </c>
      <c r="C333" t="s">
        <v>266</v>
      </c>
      <c r="D333" t="s">
        <v>336</v>
      </c>
    </row>
    <row r="334" spans="1:4" x14ac:dyDescent="0.25">
      <c r="A334" t="s">
        <v>267</v>
      </c>
      <c r="B334">
        <v>478</v>
      </c>
      <c r="C334" t="s">
        <v>268</v>
      </c>
      <c r="D334" t="s">
        <v>212</v>
      </c>
    </row>
    <row r="335" spans="1:4" x14ac:dyDescent="0.25">
      <c r="A335" t="s">
        <v>269</v>
      </c>
      <c r="B335">
        <v>482</v>
      </c>
      <c r="C335" t="s">
        <v>270</v>
      </c>
      <c r="D335" t="s">
        <v>246</v>
      </c>
    </row>
    <row r="336" spans="1:4" x14ac:dyDescent="0.25">
      <c r="A336" t="s">
        <v>271</v>
      </c>
      <c r="B336">
        <v>486</v>
      </c>
      <c r="C336" t="s">
        <v>272</v>
      </c>
      <c r="D336" t="s">
        <v>215</v>
      </c>
    </row>
    <row r="337" spans="1:4" x14ac:dyDescent="0.25">
      <c r="A337" t="s">
        <v>277</v>
      </c>
      <c r="B337">
        <v>490</v>
      </c>
      <c r="C337" t="s">
        <v>1054</v>
      </c>
      <c r="D337" t="s">
        <v>294</v>
      </c>
    </row>
    <row r="338" spans="1:4" x14ac:dyDescent="0.25">
      <c r="A338" t="s">
        <v>280</v>
      </c>
      <c r="B338">
        <v>494</v>
      </c>
      <c r="C338" t="s">
        <v>278</v>
      </c>
      <c r="D338" t="s">
        <v>223</v>
      </c>
    </row>
    <row r="339" spans="1:4" x14ac:dyDescent="0.25">
      <c r="A339" t="s">
        <v>354</v>
      </c>
      <c r="B339">
        <v>498</v>
      </c>
      <c r="C339" t="s">
        <v>281</v>
      </c>
      <c r="D339" t="s">
        <v>279</v>
      </c>
    </row>
    <row r="340" spans="1:4" x14ac:dyDescent="0.25">
      <c r="A340" t="s">
        <v>356</v>
      </c>
      <c r="B340">
        <v>502</v>
      </c>
      <c r="C340" t="s">
        <v>355</v>
      </c>
      <c r="D340" t="s">
        <v>226</v>
      </c>
    </row>
    <row r="341" spans="1:4" x14ac:dyDescent="0.25">
      <c r="A341" t="s">
        <v>358</v>
      </c>
      <c r="B341">
        <v>506</v>
      </c>
      <c r="C341" t="s">
        <v>357</v>
      </c>
      <c r="D341" t="s">
        <v>235</v>
      </c>
    </row>
    <row r="342" spans="1:4" x14ac:dyDescent="0.25">
      <c r="A342" t="s">
        <v>455</v>
      </c>
      <c r="B342">
        <v>510</v>
      </c>
      <c r="C342" t="s">
        <v>1055</v>
      </c>
      <c r="D342" t="s">
        <v>133</v>
      </c>
    </row>
    <row r="343" spans="1:4" x14ac:dyDescent="0.25">
      <c r="A343" t="s">
        <v>950</v>
      </c>
      <c r="B343">
        <v>514</v>
      </c>
      <c r="C343" t="s">
        <v>1005</v>
      </c>
      <c r="D343" t="s">
        <v>223</v>
      </c>
    </row>
    <row r="344" spans="1:4" x14ac:dyDescent="0.25">
      <c r="A344" t="s">
        <v>1007</v>
      </c>
      <c r="B344">
        <v>518</v>
      </c>
      <c r="C344" t="s">
        <v>1006</v>
      </c>
      <c r="D344" t="s">
        <v>279</v>
      </c>
    </row>
    <row r="345" spans="1:4" x14ac:dyDescent="0.25">
      <c r="A345" t="s">
        <v>1009</v>
      </c>
      <c r="B345">
        <v>522</v>
      </c>
      <c r="C345" t="s">
        <v>1056</v>
      </c>
      <c r="D345" t="s">
        <v>226</v>
      </c>
    </row>
    <row r="346" spans="1:4" x14ac:dyDescent="0.25">
      <c r="A346" t="s">
        <v>1011</v>
      </c>
      <c r="B346">
        <v>526</v>
      </c>
      <c r="C346" t="s">
        <v>1057</v>
      </c>
      <c r="D346" t="s">
        <v>235</v>
      </c>
    </row>
    <row r="347" spans="1:4" x14ac:dyDescent="0.25">
      <c r="A347" t="s">
        <v>1013</v>
      </c>
      <c r="B347">
        <v>530</v>
      </c>
      <c r="C347" t="s">
        <v>1012</v>
      </c>
      <c r="D347" t="s">
        <v>223</v>
      </c>
    </row>
    <row r="348" spans="1:4" x14ac:dyDescent="0.25">
      <c r="A348" t="s">
        <v>1018</v>
      </c>
      <c r="B348">
        <v>534</v>
      </c>
      <c r="C348" t="s">
        <v>1014</v>
      </c>
      <c r="D348" t="s">
        <v>279</v>
      </c>
    </row>
    <row r="349" spans="1:4" x14ac:dyDescent="0.25">
      <c r="A349" t="s">
        <v>1020</v>
      </c>
      <c r="B349">
        <v>538</v>
      </c>
      <c r="C349" t="s">
        <v>1019</v>
      </c>
      <c r="D349" t="s">
        <v>226</v>
      </c>
    </row>
    <row r="350" spans="1:4" x14ac:dyDescent="0.25">
      <c r="A350" t="s">
        <v>1022</v>
      </c>
      <c r="B350">
        <v>542</v>
      </c>
      <c r="C350" t="s">
        <v>1021</v>
      </c>
      <c r="D350" t="s">
        <v>235</v>
      </c>
    </row>
    <row r="351" spans="1:4" x14ac:dyDescent="0.25">
      <c r="A351" t="s">
        <v>1035</v>
      </c>
      <c r="B351">
        <v>546</v>
      </c>
      <c r="C351" t="s">
        <v>1023</v>
      </c>
      <c r="D351" t="s">
        <v>238</v>
      </c>
    </row>
    <row r="352" spans="1:4" x14ac:dyDescent="0.25">
      <c r="A352" t="s">
        <v>1041</v>
      </c>
      <c r="B352">
        <v>550</v>
      </c>
      <c r="C352" t="s">
        <v>1040</v>
      </c>
      <c r="D352" t="s">
        <v>238</v>
      </c>
    </row>
    <row r="353" spans="1:4" x14ac:dyDescent="0.25">
      <c r="A353" t="s">
        <v>1044</v>
      </c>
      <c r="B353">
        <v>554</v>
      </c>
      <c r="C353" t="s">
        <v>1064</v>
      </c>
      <c r="D353" t="s">
        <v>304</v>
      </c>
    </row>
    <row r="354" spans="1:4" x14ac:dyDescent="0.25">
      <c r="A354" t="s">
        <v>1066</v>
      </c>
      <c r="B354">
        <v>558</v>
      </c>
      <c r="C354" t="s">
        <v>1076</v>
      </c>
      <c r="D354" t="s">
        <v>348</v>
      </c>
    </row>
    <row r="355" spans="1:4" x14ac:dyDescent="0.25">
      <c r="A355" t="s">
        <v>1080</v>
      </c>
      <c r="B355">
        <v>562</v>
      </c>
      <c r="C355" t="s">
        <v>1084</v>
      </c>
      <c r="D355" t="s">
        <v>312</v>
      </c>
    </row>
    <row r="356" spans="1:4" x14ac:dyDescent="0.25">
      <c r="A356" t="s">
        <v>1085</v>
      </c>
      <c r="B356">
        <v>566</v>
      </c>
      <c r="C356" t="s">
        <v>1096</v>
      </c>
      <c r="D356" t="s">
        <v>353</v>
      </c>
    </row>
    <row r="369" spans="1:2" x14ac:dyDescent="0.25">
      <c r="A369" t="s">
        <v>282</v>
      </c>
      <c r="B369" t="s">
        <v>282</v>
      </c>
    </row>
    <row r="370" spans="1:2" x14ac:dyDescent="0.25">
      <c r="A370" t="s">
        <v>283</v>
      </c>
      <c r="B370" t="s">
        <v>284</v>
      </c>
    </row>
    <row r="371" spans="1:2" x14ac:dyDescent="0.25">
      <c r="A371" t="s">
        <v>285</v>
      </c>
    </row>
    <row r="373" spans="1:2" x14ac:dyDescent="0.25">
      <c r="A373" t="s">
        <v>286</v>
      </c>
      <c r="B373" t="s">
        <v>286</v>
      </c>
    </row>
    <row r="374" spans="1:2" x14ac:dyDescent="0.25">
      <c r="A374" t="s">
        <v>287</v>
      </c>
      <c r="B374" t="s">
        <v>288</v>
      </c>
    </row>
    <row r="375" spans="1:2" x14ac:dyDescent="0.25">
      <c r="A375" t="s">
        <v>289</v>
      </c>
    </row>
    <row r="377" spans="1:2" x14ac:dyDescent="0.25">
      <c r="A377" t="s">
        <v>290</v>
      </c>
    </row>
    <row r="378" spans="1:2" x14ac:dyDescent="0.25">
      <c r="A378" t="s">
        <v>291</v>
      </c>
    </row>
    <row r="379" spans="1:2" x14ac:dyDescent="0.25">
      <c r="A379" t="s">
        <v>292</v>
      </c>
    </row>
    <row r="381" spans="1:2" x14ac:dyDescent="0.25">
      <c r="A381" t="s">
        <v>203</v>
      </c>
    </row>
    <row r="382" spans="1:2" x14ac:dyDescent="0.25">
      <c r="A382" t="s">
        <v>291</v>
      </c>
    </row>
    <row r="383" spans="1:2" x14ac:dyDescent="0.25">
      <c r="A383" t="s">
        <v>293</v>
      </c>
    </row>
    <row r="385" spans="1:1" x14ac:dyDescent="0.25">
      <c r="A385" t="s">
        <v>296</v>
      </c>
    </row>
    <row r="386" spans="1:1" x14ac:dyDescent="0.25">
      <c r="A386" t="s">
        <v>291</v>
      </c>
    </row>
    <row r="387" spans="1:1" x14ac:dyDescent="0.25">
      <c r="A387" t="s">
        <v>297</v>
      </c>
    </row>
    <row r="389" spans="1:1" x14ac:dyDescent="0.25">
      <c r="A389" t="s">
        <v>298</v>
      </c>
    </row>
    <row r="390" spans="1:1" x14ac:dyDescent="0.25">
      <c r="A390" t="s">
        <v>291</v>
      </c>
    </row>
    <row r="391" spans="1:1" x14ac:dyDescent="0.25">
      <c r="A391" t="s">
        <v>299</v>
      </c>
    </row>
    <row r="393" spans="1:1" x14ac:dyDescent="0.25">
      <c r="A393" t="s">
        <v>300</v>
      </c>
    </row>
    <row r="394" spans="1:1" x14ac:dyDescent="0.25">
      <c r="A394" t="s">
        <v>291</v>
      </c>
    </row>
    <row r="395" spans="1:1" x14ac:dyDescent="0.25">
      <c r="A395" t="s">
        <v>301</v>
      </c>
    </row>
    <row r="397" spans="1:1" x14ac:dyDescent="0.25">
      <c r="A397" t="s">
        <v>302</v>
      </c>
    </row>
    <row r="398" spans="1:1" x14ac:dyDescent="0.25">
      <c r="A398" t="s">
        <v>291</v>
      </c>
    </row>
    <row r="399" spans="1:1" x14ac:dyDescent="0.25">
      <c r="A399" t="s">
        <v>303</v>
      </c>
    </row>
    <row r="401" spans="1:1" x14ac:dyDescent="0.25">
      <c r="A401" t="s">
        <v>304</v>
      </c>
    </row>
    <row r="402" spans="1:1" x14ac:dyDescent="0.25">
      <c r="A402" t="s">
        <v>291</v>
      </c>
    </row>
    <row r="403" spans="1:1" x14ac:dyDescent="0.25">
      <c r="A403" t="s">
        <v>305</v>
      </c>
    </row>
    <row r="405" spans="1:1" x14ac:dyDescent="0.25">
      <c r="A405" t="s">
        <v>209</v>
      </c>
    </row>
    <row r="406" spans="1:1" x14ac:dyDescent="0.25">
      <c r="A406" t="s">
        <v>291</v>
      </c>
    </row>
    <row r="407" spans="1:1" x14ac:dyDescent="0.25">
      <c r="A407" s="118" t="s">
        <v>360</v>
      </c>
    </row>
    <row r="409" spans="1:1" x14ac:dyDescent="0.25">
      <c r="A409" t="s">
        <v>241</v>
      </c>
    </row>
    <row r="410" spans="1:1" x14ac:dyDescent="0.25">
      <c r="A410" t="s">
        <v>291</v>
      </c>
    </row>
    <row r="411" spans="1:1" x14ac:dyDescent="0.25">
      <c r="A411" t="s">
        <v>361</v>
      </c>
    </row>
    <row r="413" spans="1:1" x14ac:dyDescent="0.25">
      <c r="A413" t="s">
        <v>336</v>
      </c>
    </row>
    <row r="414" spans="1:1" x14ac:dyDescent="0.25">
      <c r="A414" t="s">
        <v>291</v>
      </c>
    </row>
    <row r="415" spans="1:1" x14ac:dyDescent="0.25">
      <c r="A415" t="s">
        <v>362</v>
      </c>
    </row>
    <row r="417" spans="1:2" x14ac:dyDescent="0.25">
      <c r="A417" t="s">
        <v>246</v>
      </c>
    </row>
    <row r="418" spans="1:2" x14ac:dyDescent="0.25">
      <c r="A418" t="s">
        <v>291</v>
      </c>
    </row>
    <row r="419" spans="1:2" x14ac:dyDescent="0.25">
      <c r="A419" t="s">
        <v>363</v>
      </c>
    </row>
    <row r="421" spans="1:2" x14ac:dyDescent="0.25">
      <c r="A421" t="s">
        <v>309</v>
      </c>
    </row>
    <row r="422" spans="1:2" x14ac:dyDescent="0.25">
      <c r="A422" t="s">
        <v>310</v>
      </c>
    </row>
    <row r="423" spans="1:2" x14ac:dyDescent="0.25">
      <c r="A423" s="118" t="s">
        <v>1097</v>
      </c>
    </row>
    <row r="425" spans="1:2" x14ac:dyDescent="0.25">
      <c r="A425" t="s">
        <v>312</v>
      </c>
      <c r="B425" t="s">
        <v>313</v>
      </c>
    </row>
    <row r="426" spans="1:2" x14ac:dyDescent="0.25">
      <c r="A426" t="s">
        <v>310</v>
      </c>
      <c r="B426" t="str">
        <f>"=Benefit not given"</f>
        <v>=Benefit not given</v>
      </c>
    </row>
    <row r="427" spans="1:2" x14ac:dyDescent="0.25">
      <c r="A427" t="s">
        <v>314</v>
      </c>
    </row>
    <row r="429" spans="1:2" x14ac:dyDescent="0.25">
      <c r="A429" t="s">
        <v>313</v>
      </c>
      <c r="B429" t="s">
        <v>315</v>
      </c>
    </row>
    <row r="430" spans="1:2" x14ac:dyDescent="0.25">
      <c r="A430" t="str">
        <f>"=Benefit not given"</f>
        <v>=Benefit not given</v>
      </c>
      <c r="B430" t="s">
        <v>291</v>
      </c>
    </row>
    <row r="431" spans="1:2" x14ac:dyDescent="0.25">
      <c r="A431" t="s">
        <v>316</v>
      </c>
    </row>
    <row r="433" spans="1:2" x14ac:dyDescent="0.25">
      <c r="A433" t="s">
        <v>313</v>
      </c>
      <c r="B433" t="s">
        <v>317</v>
      </c>
    </row>
    <row r="434" spans="1:2" x14ac:dyDescent="0.25">
      <c r="A434" t="str">
        <f>"=Benefit not given"</f>
        <v>=Benefit not given</v>
      </c>
      <c r="B434" t="s">
        <v>291</v>
      </c>
    </row>
    <row r="435" spans="1:2" x14ac:dyDescent="0.25">
      <c r="A435" t="s">
        <v>318</v>
      </c>
    </row>
    <row r="437" spans="1:2" x14ac:dyDescent="0.25">
      <c r="A437" t="s">
        <v>312</v>
      </c>
      <c r="B437" t="s">
        <v>313</v>
      </c>
    </row>
    <row r="438" spans="1:2" x14ac:dyDescent="0.25">
      <c r="A438" t="s">
        <v>310</v>
      </c>
      <c r="B438" t="str">
        <f>"=House to Non full time service Director"</f>
        <v>=House to Non full time service Director</v>
      </c>
    </row>
    <row r="439" spans="1:2" x14ac:dyDescent="0.25">
      <c r="A439" t="s">
        <v>319</v>
      </c>
    </row>
    <row r="441" spans="1:2" x14ac:dyDescent="0.25">
      <c r="A441" t="s">
        <v>313</v>
      </c>
      <c r="B441" t="s">
        <v>315</v>
      </c>
    </row>
    <row r="442" spans="1:2" x14ac:dyDescent="0.25">
      <c r="A442" t="str">
        <f>"=House to Non full time service Director"</f>
        <v>=House to Non full time service Director</v>
      </c>
      <c r="B442" t="s">
        <v>291</v>
      </c>
    </row>
    <row r="443" spans="1:2" x14ac:dyDescent="0.25">
      <c r="A443" t="s">
        <v>320</v>
      </c>
    </row>
    <row r="445" spans="1:2" x14ac:dyDescent="0.25">
      <c r="A445" t="s">
        <v>313</v>
      </c>
      <c r="B445" t="s">
        <v>317</v>
      </c>
    </row>
    <row r="446" spans="1:2" x14ac:dyDescent="0.25">
      <c r="A446" t="str">
        <f>"=House to Non full time service Director"</f>
        <v>=House to Non full time service Director</v>
      </c>
      <c r="B446" t="s">
        <v>291</v>
      </c>
    </row>
    <row r="447" spans="1:2" x14ac:dyDescent="0.25">
      <c r="A447" t="s">
        <v>321</v>
      </c>
    </row>
    <row r="449" spans="1:2" x14ac:dyDescent="0.25">
      <c r="A449" t="s">
        <v>313</v>
      </c>
      <c r="B449" t="s">
        <v>315</v>
      </c>
    </row>
    <row r="450" spans="1:2" x14ac:dyDescent="0.25">
      <c r="A450" t="s">
        <v>323</v>
      </c>
      <c r="B450" t="s">
        <v>310</v>
      </c>
    </row>
    <row r="451" spans="1:2" x14ac:dyDescent="0.25">
      <c r="A451" t="s">
        <v>322</v>
      </c>
    </row>
    <row r="453" spans="1:2" x14ac:dyDescent="0.25">
      <c r="A453" t="s">
        <v>313</v>
      </c>
      <c r="B453" t="s">
        <v>317</v>
      </c>
    </row>
    <row r="454" spans="1:2" x14ac:dyDescent="0.25">
      <c r="A454" t="s">
        <v>323</v>
      </c>
      <c r="B454" t="s">
        <v>310</v>
      </c>
    </row>
    <row r="455" spans="1:2" x14ac:dyDescent="0.25">
      <c r="A455" t="s">
        <v>324</v>
      </c>
    </row>
    <row r="457" spans="1:2" x14ac:dyDescent="0.25">
      <c r="A457" t="s">
        <v>312</v>
      </c>
      <c r="B457" t="s">
        <v>313</v>
      </c>
    </row>
    <row r="458" spans="1:2" x14ac:dyDescent="0.25">
      <c r="A458" t="s">
        <v>291</v>
      </c>
      <c r="B458" t="s">
        <v>323</v>
      </c>
    </row>
    <row r="459" spans="1:2" x14ac:dyDescent="0.25">
      <c r="A459" t="s">
        <v>325</v>
      </c>
    </row>
    <row r="461" spans="1:2" x14ac:dyDescent="0.25">
      <c r="A461" t="s">
        <v>313</v>
      </c>
      <c r="B461" t="s">
        <v>315</v>
      </c>
    </row>
    <row r="462" spans="1:2" x14ac:dyDescent="0.25">
      <c r="A462" t="s">
        <v>436</v>
      </c>
      <c r="B462" t="s">
        <v>310</v>
      </c>
    </row>
    <row r="463" spans="1:2" x14ac:dyDescent="0.25">
      <c r="A463" t="s">
        <v>326</v>
      </c>
    </row>
    <row r="465" spans="1:2" x14ac:dyDescent="0.25">
      <c r="A465" t="s">
        <v>313</v>
      </c>
      <c r="B465" t="s">
        <v>317</v>
      </c>
    </row>
    <row r="466" spans="1:2" x14ac:dyDescent="0.25">
      <c r="A466" t="s">
        <v>436</v>
      </c>
      <c r="B466" t="s">
        <v>310</v>
      </c>
    </row>
    <row r="467" spans="1:2" x14ac:dyDescent="0.25">
      <c r="A467" t="s">
        <v>327</v>
      </c>
    </row>
    <row r="469" spans="1:2" x14ac:dyDescent="0.25">
      <c r="A469" t="s">
        <v>312</v>
      </c>
      <c r="B469" t="s">
        <v>313</v>
      </c>
    </row>
    <row r="470" spans="1:2" x14ac:dyDescent="0.25">
      <c r="A470" t="s">
        <v>291</v>
      </c>
      <c r="B470" t="s">
        <v>436</v>
      </c>
    </row>
    <row r="471" spans="1:2" x14ac:dyDescent="0.25">
      <c r="A471" t="s">
        <v>328</v>
      </c>
    </row>
    <row r="473" spans="1:2" x14ac:dyDescent="0.25">
      <c r="A473" t="s">
        <v>312</v>
      </c>
      <c r="B473" t="s">
        <v>313</v>
      </c>
    </row>
    <row r="474" spans="1:2" x14ac:dyDescent="0.25">
      <c r="A474" t="s">
        <v>291</v>
      </c>
      <c r="B474" t="str">
        <f>"=Agriculture Farm"</f>
        <v>=Agriculture Farm</v>
      </c>
    </row>
    <row r="475" spans="1:2" x14ac:dyDescent="0.25">
      <c r="A475" t="s">
        <v>329</v>
      </c>
    </row>
    <row r="477" spans="1:2" x14ac:dyDescent="0.25">
      <c r="A477" t="s">
        <v>313</v>
      </c>
      <c r="B477" t="s">
        <v>315</v>
      </c>
    </row>
    <row r="478" spans="1:2" x14ac:dyDescent="0.25">
      <c r="A478" t="str">
        <f>"=Agriculture Farm"</f>
        <v>=Agriculture Farm</v>
      </c>
      <c r="B478" t="s">
        <v>291</v>
      </c>
    </row>
    <row r="479" spans="1:2" x14ac:dyDescent="0.25">
      <c r="A479" t="s">
        <v>330</v>
      </c>
    </row>
    <row r="481" spans="1:3" x14ac:dyDescent="0.25">
      <c r="A481" t="s">
        <v>313</v>
      </c>
      <c r="B481" t="s">
        <v>294</v>
      </c>
    </row>
    <row r="482" spans="1:3" x14ac:dyDescent="0.25">
      <c r="A482" t="str">
        <f>"=Agriculture Farm"</f>
        <v>=Agriculture Farm</v>
      </c>
      <c r="B482" t="s">
        <v>291</v>
      </c>
    </row>
    <row r="483" spans="1:3" x14ac:dyDescent="0.25">
      <c r="A483" t="s">
        <v>364</v>
      </c>
    </row>
    <row r="485" spans="1:3" x14ac:dyDescent="0.25">
      <c r="A485" t="s">
        <v>313</v>
      </c>
      <c r="B485" t="s">
        <v>317</v>
      </c>
    </row>
    <row r="486" spans="1:3" x14ac:dyDescent="0.25">
      <c r="A486" t="str">
        <f>"=Agriculture Farm"</f>
        <v>=Agriculture Farm</v>
      </c>
      <c r="B486" t="s">
        <v>291</v>
      </c>
    </row>
    <row r="487" spans="1:3" x14ac:dyDescent="0.25">
      <c r="A487" t="s">
        <v>331</v>
      </c>
    </row>
    <row r="489" spans="1:3" x14ac:dyDescent="0.25">
      <c r="A489" t="s">
        <v>365</v>
      </c>
    </row>
    <row r="490" spans="1:3" x14ac:dyDescent="0.25">
      <c r="A490" s="26" t="s">
        <v>310</v>
      </c>
    </row>
    <row r="491" spans="1:3" x14ac:dyDescent="0.25">
      <c r="A491" t="s">
        <v>366</v>
      </c>
    </row>
    <row r="493" spans="1:3" x14ac:dyDescent="0.25">
      <c r="A493" t="s">
        <v>282</v>
      </c>
      <c r="B493" t="s">
        <v>286</v>
      </c>
      <c r="C493" t="s">
        <v>332</v>
      </c>
    </row>
    <row r="494" spans="1:3" x14ac:dyDescent="0.25">
      <c r="A494" t="str">
        <f>"=Resident"</f>
        <v>=Resident</v>
      </c>
      <c r="B494" t="str">
        <f>"=Primary Employee"</f>
        <v>=Primary Employee</v>
      </c>
      <c r="C494" t="s">
        <v>310</v>
      </c>
    </row>
    <row r="495" spans="1:3" x14ac:dyDescent="0.25">
      <c r="A495" t="s">
        <v>367</v>
      </c>
    </row>
    <row r="497" spans="1:5" x14ac:dyDescent="0.25">
      <c r="A497" t="s">
        <v>282</v>
      </c>
      <c r="B497" t="s">
        <v>286</v>
      </c>
      <c r="C497" t="s">
        <v>206</v>
      </c>
    </row>
    <row r="498" spans="1:5" x14ac:dyDescent="0.25">
      <c r="A498" t="str">
        <f>"=Resident"</f>
        <v>=Resident</v>
      </c>
      <c r="B498" t="str">
        <f>"=Primary Employee"</f>
        <v>=Primary Employee</v>
      </c>
      <c r="C498" t="s">
        <v>310</v>
      </c>
    </row>
    <row r="499" spans="1:5" x14ac:dyDescent="0.25">
      <c r="A499" t="s">
        <v>334</v>
      </c>
    </row>
    <row r="501" spans="1:5" x14ac:dyDescent="0.25">
      <c r="A501" t="s">
        <v>282</v>
      </c>
      <c r="B501" t="s">
        <v>286</v>
      </c>
      <c r="C501" t="s">
        <v>335</v>
      </c>
    </row>
    <row r="502" spans="1:5" x14ac:dyDescent="0.25">
      <c r="A502" t="str">
        <f>"=Resident"</f>
        <v>=Resident</v>
      </c>
      <c r="B502" t="str">
        <f>"=Primary Employee"</f>
        <v>=Primary Employee</v>
      </c>
      <c r="C502" t="str">
        <f>IF(RtnInf.RtnPrdFrom&lt;&gt;"",IF(MID(RtnInf.RtnPrdFrom,7,4)&lt;"2021","=",IF(OR(AND(MID(RtnInf.RtnPrdFrom,7,4)="2024",MID(RtnInf.RtnPrdFrom,4,2)&gt;="03"),MID(RtnInf.RtnPrdFrom,7,4)&gt;"2024"),"=","&lt;&gt;")),"")</f>
        <v/>
      </c>
    </row>
    <row r="503" spans="1:5" x14ac:dyDescent="0.25">
      <c r="A503" t="str">
        <f>IF(RtnInf.RtnPrdFrom&lt;&gt;"",IF(MID(RtnInf.RtnPrdFrom,7,4)&lt;"2021","As 'Residential Status' contains 'Resident' and 'Type' contains 'Primary Employee', 'Deposit on Home Ownership Saving Plan (N)' should contain value in following row(s): ",IF(OR(AND(MID(RtnInf.RtnPrdFrom,7,4)="2024",MID(RtnInf.RtnPrdFrom,4,2)&gt;="03"),MID(RtnInf.RtnPrdFrom,7,4)&gt;"2024"),"As 'Residential Status' contains 'Resident' and 'Type' contains 'Primary Employee', 'Affordable Housing Relief (N)' should contain value in following row(s): ","As 'Residential Status' contains 'Resident' and 'Type' contains 'Primary Employee', 'Deposit on Home Ownership Saving Plan (N)' should be blank in following row(s):")),"")</f>
        <v/>
      </c>
    </row>
    <row r="505" spans="1:5" x14ac:dyDescent="0.25">
      <c r="A505" t="s">
        <v>282</v>
      </c>
      <c r="B505" t="s">
        <v>286</v>
      </c>
      <c r="C505" t="s">
        <v>133</v>
      </c>
    </row>
    <row r="506" spans="1:5" x14ac:dyDescent="0.25">
      <c r="A506" t="str">
        <f>"=Resident"</f>
        <v>=Resident</v>
      </c>
      <c r="B506" t="str">
        <f>"=Primary Employee"</f>
        <v>=Primary Employee</v>
      </c>
      <c r="C506" t="s">
        <v>310</v>
      </c>
    </row>
    <row r="507" spans="1:5" x14ac:dyDescent="0.25">
      <c r="A507" t="s">
        <v>368</v>
      </c>
    </row>
    <row r="509" spans="1:5" x14ac:dyDescent="0.25">
      <c r="A509" t="s">
        <v>313</v>
      </c>
      <c r="B509" t="s">
        <v>313</v>
      </c>
      <c r="C509" t="s">
        <v>313</v>
      </c>
      <c r="D509" t="s">
        <v>313</v>
      </c>
      <c r="E509" t="s">
        <v>313</v>
      </c>
    </row>
    <row r="510" spans="1:5" x14ac:dyDescent="0.25">
      <c r="A510" t="s">
        <v>943</v>
      </c>
      <c r="B510" t="s">
        <v>944</v>
      </c>
      <c r="C510" t="s">
        <v>945</v>
      </c>
      <c r="D510" t="s">
        <v>946</v>
      </c>
      <c r="E510" t="s">
        <v>947</v>
      </c>
    </row>
    <row r="511" spans="1:5" x14ac:dyDescent="0.25">
      <c r="A511" t="s">
        <v>948</v>
      </c>
    </row>
    <row r="513" spans="1:3" x14ac:dyDescent="0.25">
      <c r="A513" t="s">
        <v>282</v>
      </c>
      <c r="B513" t="s">
        <v>286</v>
      </c>
      <c r="C513" t="s">
        <v>332</v>
      </c>
    </row>
    <row r="514" spans="1:3" x14ac:dyDescent="0.25">
      <c r="A514" t="str">
        <f>"=Non-Resident"</f>
        <v>=Non-Resident</v>
      </c>
      <c r="B514" t="str">
        <f>"=Primary Employee"</f>
        <v>=Primary Employee</v>
      </c>
      <c r="C514" t="s">
        <v>291</v>
      </c>
    </row>
    <row r="515" spans="1:3" x14ac:dyDescent="0.25">
      <c r="A515" t="s">
        <v>1048</v>
      </c>
    </row>
    <row r="517" spans="1:3" x14ac:dyDescent="0.25">
      <c r="A517" t="s">
        <v>282</v>
      </c>
      <c r="B517" t="s">
        <v>286</v>
      </c>
      <c r="C517" t="s">
        <v>206</v>
      </c>
    </row>
    <row r="518" spans="1:3" x14ac:dyDescent="0.25">
      <c r="A518" t="str">
        <f>"=Non-Resident"</f>
        <v>=Non-Resident</v>
      </c>
      <c r="B518" t="str">
        <f>"=Primary Employee"</f>
        <v>=Primary Employee</v>
      </c>
      <c r="C518" t="s">
        <v>310</v>
      </c>
    </row>
    <row r="519" spans="1:3" x14ac:dyDescent="0.25">
      <c r="A519" t="s">
        <v>1049</v>
      </c>
    </row>
    <row r="521" spans="1:3" x14ac:dyDescent="0.25">
      <c r="A521" t="s">
        <v>282</v>
      </c>
      <c r="B521" t="s">
        <v>286</v>
      </c>
      <c r="C521" t="s">
        <v>335</v>
      </c>
    </row>
    <row r="522" spans="1:3" x14ac:dyDescent="0.25">
      <c r="A522" t="str">
        <f>"=Non-Resident"</f>
        <v>=Non-Resident</v>
      </c>
      <c r="B522" t="str">
        <f>"=Primary Employee"</f>
        <v>=Primary Employee</v>
      </c>
      <c r="C522" t="str">
        <f>IF(RtnInf.RtnPrdFrom&lt;&gt;"",IF(MID(RtnInf.RtnPrdFrom,7,4)&lt;"2021","=",IF(OR(AND(MID(RtnInf.RtnPrdFrom,7,4)="2024",MID(RtnInf.RtnPrdFrom,4,2)&gt;="03"),MID(RtnInf.RtnPrdFrom,7,4)&gt;"2024"),"=","&lt;&gt;")),"")</f>
        <v/>
      </c>
    </row>
    <row r="523" spans="1:3" x14ac:dyDescent="0.25">
      <c r="A523" t="str">
        <f>IF(RtnInf.RtnPrdFrom&lt;&gt;"",IF(MID(RtnInf.RtnPrdFrom,7,4)&lt;"2021","As 'Residential Status' contains 'Non-Resident' and 'Type' contains 'Primary Employee', 'Deposit on Home Ownership Saving Plan (N)' should contain value in following row(s): ",IF(OR(AND(MID(RtnInf.RtnPrdFrom,7,4)="2024",MID(RtnInf.RtnPrdFrom,4,2)&gt;="03"),MID(RtnInf.RtnPrdFrom,7,4)&gt;"2024"),"As 'Residential Status' contains 'Non-Resident' and 'Type' contains 'Primary Employee', 'Affordable Housing Relief (N)' should contain value in following row(s): ","As 'Residential Status' contains 'Non-Resident' and 'Type' contains 'Primary Employee', 'Deposit on Home Ownership Saving Plan (N)' should be blank in following row(s):")),"")</f>
        <v/>
      </c>
    </row>
    <row r="525" spans="1:3" x14ac:dyDescent="0.25">
      <c r="A525" t="s">
        <v>282</v>
      </c>
      <c r="B525" t="s">
        <v>286</v>
      </c>
      <c r="C525" t="s">
        <v>133</v>
      </c>
    </row>
    <row r="526" spans="1:3" x14ac:dyDescent="0.25">
      <c r="A526" t="str">
        <f>"=Non-Resident"</f>
        <v>=Non-Resident</v>
      </c>
      <c r="B526" t="str">
        <f>"=Primary Employee"</f>
        <v>=Primary Employee</v>
      </c>
      <c r="C526" t="s">
        <v>291</v>
      </c>
    </row>
    <row r="527" spans="1:3" x14ac:dyDescent="0.25">
      <c r="A527" t="s">
        <v>1052</v>
      </c>
    </row>
    <row r="529" spans="1:2" x14ac:dyDescent="0.25">
      <c r="A529" t="s">
        <v>286</v>
      </c>
      <c r="B529" t="s">
        <v>332</v>
      </c>
    </row>
    <row r="530" spans="1:2" x14ac:dyDescent="0.25">
      <c r="A530" t="str">
        <f>"=Secondary Employee"</f>
        <v>=Secondary Employee</v>
      </c>
      <c r="B530" t="s">
        <v>291</v>
      </c>
    </row>
    <row r="531" spans="1:2" x14ac:dyDescent="0.25">
      <c r="A531" t="s">
        <v>1015</v>
      </c>
    </row>
    <row r="533" spans="1:2" x14ac:dyDescent="0.25">
      <c r="A533" t="s">
        <v>286</v>
      </c>
      <c r="B533" t="s">
        <v>206</v>
      </c>
    </row>
    <row r="534" spans="1:2" x14ac:dyDescent="0.25">
      <c r="A534" t="str">
        <f>"=Secondary Employee"</f>
        <v>=Secondary Employee</v>
      </c>
      <c r="B534" t="s">
        <v>291</v>
      </c>
    </row>
    <row r="535" spans="1:2" x14ac:dyDescent="0.25">
      <c r="A535" s="118" t="s">
        <v>1016</v>
      </c>
    </row>
    <row r="537" spans="1:2" x14ac:dyDescent="0.25">
      <c r="A537" t="s">
        <v>286</v>
      </c>
      <c r="B537" t="s">
        <v>335</v>
      </c>
    </row>
    <row r="538" spans="1:2" x14ac:dyDescent="0.25">
      <c r="A538" t="str">
        <f>"=Secondary Employee"</f>
        <v>=Secondary Employee</v>
      </c>
      <c r="B538" t="str">
        <f>IF(RtnInf.RtnPrdFrom&lt;&gt;"",IF(OR(AND(MID(RtnInf.RtnPrdFrom,7,4)="2024",MID(RtnInf.RtnPrdFrom,4,2)&gt;="03"),MID(RtnInf.RtnPrdFrom,7,4)&gt;"2024"),"=","&lt;&gt;"),"")</f>
        <v/>
      </c>
    </row>
    <row r="539" spans="1:2" x14ac:dyDescent="0.25">
      <c r="A539" t="str">
        <f>IF(RtnInf.RtnPrdFrom&lt;&gt;"",IF(OR(AND(MID(RtnInf.RtnPrdFrom,7,4)="2024",MID(RtnInf.RtnPrdFrom,4,2)&gt;="03"),MID(RtnInf.RtnPrdFrom,7,4)&gt;"2024"),"As 'Type' contains 'Secondary Employee', 'Affordable Housing Relief (N)' should be blank in following row(s): ","As 'Type' contains 'Secondary Employee', 'Deposit on Home Ownership Saving Plan (N)' should be blank in following row(s): "),"")</f>
        <v/>
      </c>
    </row>
    <row r="540" spans="1:2" x14ac:dyDescent="0.25">
      <c r="A540" s="118"/>
    </row>
    <row r="541" spans="1:2" x14ac:dyDescent="0.25">
      <c r="A541" t="s">
        <v>286</v>
      </c>
      <c r="B541" t="s">
        <v>133</v>
      </c>
    </row>
    <row r="542" spans="1:2" x14ac:dyDescent="0.25">
      <c r="A542" t="str">
        <f>"=Secondary Employee"</f>
        <v>=Secondary Employee</v>
      </c>
      <c r="B542" t="s">
        <v>291</v>
      </c>
    </row>
    <row r="543" spans="1:2" x14ac:dyDescent="0.25">
      <c r="A543" t="s">
        <v>1024</v>
      </c>
    </row>
    <row r="544" spans="1:2" x14ac:dyDescent="0.25">
      <c r="A544" s="118"/>
    </row>
    <row r="545" spans="1:2" x14ac:dyDescent="0.25">
      <c r="A545" t="s">
        <v>282</v>
      </c>
      <c r="B545" t="s">
        <v>212</v>
      </c>
    </row>
    <row r="546" spans="1:2" x14ac:dyDescent="0.25">
      <c r="A546" t="str">
        <f>"=Resident"</f>
        <v>=Resident</v>
      </c>
      <c r="B546" t="s">
        <v>310</v>
      </c>
    </row>
    <row r="547" spans="1:2" x14ac:dyDescent="0.25">
      <c r="A547" t="s">
        <v>1042</v>
      </c>
    </row>
    <row r="549" spans="1:2" x14ac:dyDescent="0.25">
      <c r="A549" t="s">
        <v>282</v>
      </c>
      <c r="B549" t="s">
        <v>212</v>
      </c>
    </row>
    <row r="550" spans="1:2" x14ac:dyDescent="0.25">
      <c r="A550" t="str">
        <f>"=Non-Resident"</f>
        <v>=Non-Resident</v>
      </c>
      <c r="B550" t="s">
        <v>291</v>
      </c>
    </row>
    <row r="551" spans="1:2" x14ac:dyDescent="0.25">
      <c r="A551" t="s">
        <v>1053</v>
      </c>
    </row>
    <row r="553" spans="1:2" x14ac:dyDescent="0.25">
      <c r="A553" t="s">
        <v>1061</v>
      </c>
    </row>
    <row r="554" spans="1:2" x14ac:dyDescent="0.25">
      <c r="A554" t="s">
        <v>310</v>
      </c>
    </row>
    <row r="555" spans="1:2" x14ac:dyDescent="0.25">
      <c r="A555" t="s">
        <v>1062</v>
      </c>
    </row>
    <row r="557" spans="1:2" x14ac:dyDescent="0.25">
      <c r="A557" t="s">
        <v>339</v>
      </c>
    </row>
    <row r="558" spans="1:2" x14ac:dyDescent="0.25">
      <c r="A558" t="str">
        <f>"=???????????????????????????????????????????????????*"</f>
        <v>=???????????????????????????????????????????????????*</v>
      </c>
    </row>
    <row r="559" spans="1:2" x14ac:dyDescent="0.25">
      <c r="A559" t="s">
        <v>1078</v>
      </c>
    </row>
    <row r="561" spans="1:37" x14ac:dyDescent="0.25">
      <c r="A561" t="s">
        <v>365</v>
      </c>
    </row>
    <row r="562" spans="1:37" x14ac:dyDescent="0.25">
      <c r="A562" t="str">
        <f>"=?????????????????????*"</f>
        <v>=?????????????????????*</v>
      </c>
    </row>
    <row r="563" spans="1:37" x14ac:dyDescent="0.25">
      <c r="A563" s="118" t="s">
        <v>1083</v>
      </c>
    </row>
    <row r="564" spans="1:37" x14ac:dyDescent="0.25">
      <c r="A564" s="118"/>
    </row>
    <row r="565" spans="1:37" x14ac:dyDescent="0.25">
      <c r="A565" t="s">
        <v>1091</v>
      </c>
    </row>
    <row r="566" spans="1:37" x14ac:dyDescent="0.25">
      <c r="A566" t="s">
        <v>996</v>
      </c>
    </row>
    <row r="567" spans="1:37" x14ac:dyDescent="0.25">
      <c r="A567" s="118" t="s">
        <v>1092</v>
      </c>
    </row>
    <row r="569" spans="1:37" x14ac:dyDescent="0.25">
      <c r="A569" t="s">
        <v>369</v>
      </c>
      <c r="B569" t="s">
        <v>339</v>
      </c>
      <c r="C569" t="s">
        <v>282</v>
      </c>
      <c r="D569" t="s">
        <v>286</v>
      </c>
      <c r="E569" t="s">
        <v>365</v>
      </c>
      <c r="F569" t="s">
        <v>340</v>
      </c>
      <c r="G569" t="s">
        <v>341</v>
      </c>
      <c r="H569" t="s">
        <v>342</v>
      </c>
      <c r="I569" t="s">
        <v>343</v>
      </c>
      <c r="J569" t="s">
        <v>344</v>
      </c>
      <c r="K569" t="s">
        <v>345</v>
      </c>
      <c r="L569" t="s">
        <v>346</v>
      </c>
      <c r="M569" t="s">
        <v>347</v>
      </c>
      <c r="N569" t="s">
        <v>290</v>
      </c>
      <c r="O569" t="s">
        <v>1061</v>
      </c>
      <c r="P569" t="s">
        <v>125</v>
      </c>
      <c r="Q569" t="s">
        <v>203</v>
      </c>
      <c r="R569" t="s">
        <v>312</v>
      </c>
      <c r="S569" t="s">
        <v>313</v>
      </c>
      <c r="T569" t="s">
        <v>315</v>
      </c>
      <c r="U569" t="s">
        <v>294</v>
      </c>
      <c r="V569" t="s">
        <v>317</v>
      </c>
      <c r="W569" t="s">
        <v>296</v>
      </c>
      <c r="X569" t="s">
        <v>298</v>
      </c>
      <c r="Y569" t="s">
        <v>300</v>
      </c>
      <c r="Z569" t="s">
        <v>332</v>
      </c>
      <c r="AA569" t="s">
        <v>302</v>
      </c>
      <c r="AB569" t="s">
        <v>206</v>
      </c>
      <c r="AC569" t="s">
        <v>335</v>
      </c>
      <c r="AD569" t="s">
        <v>304</v>
      </c>
      <c r="AE569" t="s">
        <v>209</v>
      </c>
      <c r="AF569" t="s">
        <v>241</v>
      </c>
      <c r="AG569" t="s">
        <v>336</v>
      </c>
      <c r="AH569" t="s">
        <v>133</v>
      </c>
      <c r="AI569" t="s">
        <v>212</v>
      </c>
      <c r="AJ569" t="s">
        <v>246</v>
      </c>
      <c r="AK569" t="s">
        <v>132</v>
      </c>
    </row>
    <row r="620" spans="1:4" x14ac:dyDescent="0.25">
      <c r="A620" t="s">
        <v>370</v>
      </c>
    </row>
    <row r="621" spans="1:4" x14ac:dyDescent="0.25">
      <c r="A621" t="s">
        <v>195</v>
      </c>
      <c r="B621" t="s">
        <v>196</v>
      </c>
      <c r="C621" t="s">
        <v>197</v>
      </c>
      <c r="D621" t="s">
        <v>198</v>
      </c>
    </row>
    <row r="622" spans="1:4" x14ac:dyDescent="0.25">
      <c r="A622" t="s">
        <v>199</v>
      </c>
      <c r="B622">
        <v>643</v>
      </c>
      <c r="C622" t="s">
        <v>371</v>
      </c>
      <c r="D622" t="s">
        <v>348</v>
      </c>
    </row>
    <row r="623" spans="1:4" x14ac:dyDescent="0.25">
      <c r="A623" t="s">
        <v>201</v>
      </c>
      <c r="B623">
        <v>647</v>
      </c>
      <c r="C623" t="s">
        <v>372</v>
      </c>
      <c r="D623" t="s">
        <v>312</v>
      </c>
    </row>
    <row r="624" spans="1:4" x14ac:dyDescent="0.25">
      <c r="A624" t="s">
        <v>204</v>
      </c>
      <c r="B624">
        <v>651</v>
      </c>
      <c r="C624" t="s">
        <v>373</v>
      </c>
      <c r="D624" t="s">
        <v>317</v>
      </c>
    </row>
    <row r="625" spans="1:4" x14ac:dyDescent="0.25">
      <c r="A625" t="s">
        <v>207</v>
      </c>
      <c r="B625">
        <v>655</v>
      </c>
      <c r="C625" t="s">
        <v>374</v>
      </c>
      <c r="D625" t="s">
        <v>296</v>
      </c>
    </row>
    <row r="626" spans="1:4" x14ac:dyDescent="0.25">
      <c r="A626" t="s">
        <v>210</v>
      </c>
      <c r="B626">
        <v>659</v>
      </c>
      <c r="C626" t="s">
        <v>375</v>
      </c>
      <c r="D626" t="s">
        <v>298</v>
      </c>
    </row>
    <row r="627" spans="1:4" x14ac:dyDescent="0.25">
      <c r="A627" t="s">
        <v>213</v>
      </c>
      <c r="B627">
        <v>663</v>
      </c>
      <c r="C627" t="s">
        <v>376</v>
      </c>
      <c r="D627" t="s">
        <v>296</v>
      </c>
    </row>
    <row r="628" spans="1:4" x14ac:dyDescent="0.25">
      <c r="A628" t="s">
        <v>216</v>
      </c>
      <c r="B628">
        <v>667</v>
      </c>
      <c r="C628" t="s">
        <v>377</v>
      </c>
      <c r="D628" t="s">
        <v>298</v>
      </c>
    </row>
    <row r="629" spans="1:4" x14ac:dyDescent="0.25">
      <c r="A629" t="s">
        <v>218</v>
      </c>
      <c r="B629">
        <v>671</v>
      </c>
      <c r="C629" t="s">
        <v>219</v>
      </c>
      <c r="D629" t="s">
        <v>203</v>
      </c>
    </row>
    <row r="630" spans="1:4" x14ac:dyDescent="0.25">
      <c r="A630" t="s">
        <v>221</v>
      </c>
      <c r="B630">
        <v>675</v>
      </c>
      <c r="C630" t="s">
        <v>222</v>
      </c>
      <c r="D630" t="s">
        <v>125</v>
      </c>
    </row>
    <row r="642" spans="1:4" x14ac:dyDescent="0.25">
      <c r="A642" t="s">
        <v>378</v>
      </c>
      <c r="B642" t="s">
        <v>378</v>
      </c>
      <c r="C642" t="s">
        <v>378</v>
      </c>
      <c r="D642" t="s">
        <v>378</v>
      </c>
    </row>
    <row r="643" spans="1:4" x14ac:dyDescent="0.25">
      <c r="A643" t="s">
        <v>379</v>
      </c>
      <c r="B643" t="s">
        <v>380</v>
      </c>
      <c r="C643" t="s">
        <v>381</v>
      </c>
      <c r="D643" t="s">
        <v>382</v>
      </c>
    </row>
    <row r="644" spans="1:4" x14ac:dyDescent="0.25">
      <c r="A644" t="s">
        <v>951</v>
      </c>
    </row>
    <row r="646" spans="1:4" x14ac:dyDescent="0.25">
      <c r="A646" t="s">
        <v>38</v>
      </c>
      <c r="B646" t="s">
        <v>38</v>
      </c>
      <c r="C646" t="s">
        <v>38</v>
      </c>
    </row>
    <row r="647" spans="1:4" x14ac:dyDescent="0.25">
      <c r="A647" t="s">
        <v>383</v>
      </c>
      <c r="B647" t="s">
        <v>384</v>
      </c>
      <c r="C647" t="s">
        <v>385</v>
      </c>
    </row>
    <row r="648" spans="1:4" x14ac:dyDescent="0.25">
      <c r="A648" t="s">
        <v>386</v>
      </c>
    </row>
    <row r="650" spans="1:4" x14ac:dyDescent="0.25">
      <c r="A650" t="s">
        <v>387</v>
      </c>
      <c r="B650" t="s">
        <v>387</v>
      </c>
    </row>
    <row r="651" spans="1:4" x14ac:dyDescent="0.25">
      <c r="A651" t="s">
        <v>388</v>
      </c>
      <c r="B651" t="s">
        <v>389</v>
      </c>
    </row>
    <row r="652" spans="1:4" x14ac:dyDescent="0.25">
      <c r="A652" t="s">
        <v>390</v>
      </c>
    </row>
    <row r="654" spans="1:4" x14ac:dyDescent="0.25">
      <c r="A654" t="s">
        <v>387</v>
      </c>
      <c r="B654" t="s">
        <v>391</v>
      </c>
    </row>
    <row r="655" spans="1:4" x14ac:dyDescent="0.25">
      <c r="A655" t="str">
        <f>"=Owned"</f>
        <v>=Owned</v>
      </c>
      <c r="B655" t="s">
        <v>291</v>
      </c>
    </row>
    <row r="656" spans="1:4" x14ac:dyDescent="0.25">
      <c r="A656" t="s">
        <v>392</v>
      </c>
    </row>
    <row r="658" spans="1:2" x14ac:dyDescent="0.25">
      <c r="A658" t="s">
        <v>387</v>
      </c>
      <c r="B658" t="s">
        <v>393</v>
      </c>
    </row>
    <row r="659" spans="1:2" x14ac:dyDescent="0.25">
      <c r="A659" t="str">
        <f>"=Owned"</f>
        <v>=Owned</v>
      </c>
      <c r="B659" t="s">
        <v>310</v>
      </c>
    </row>
    <row r="660" spans="1:2" x14ac:dyDescent="0.25">
      <c r="A660" t="s">
        <v>1093</v>
      </c>
    </row>
    <row r="662" spans="1:2" x14ac:dyDescent="0.25">
      <c r="A662" t="s">
        <v>387</v>
      </c>
      <c r="B662" t="s">
        <v>391</v>
      </c>
    </row>
    <row r="663" spans="1:2" x14ac:dyDescent="0.25">
      <c r="A663" t="str">
        <f>"=Hired"</f>
        <v>=Hired</v>
      </c>
      <c r="B663" t="s">
        <v>310</v>
      </c>
    </row>
    <row r="664" spans="1:2" x14ac:dyDescent="0.25">
      <c r="A664" t="s">
        <v>1094</v>
      </c>
    </row>
    <row r="666" spans="1:2" x14ac:dyDescent="0.25">
      <c r="A666" t="s">
        <v>387</v>
      </c>
      <c r="B666" t="s">
        <v>393</v>
      </c>
    </row>
    <row r="667" spans="1:2" x14ac:dyDescent="0.25">
      <c r="A667" t="str">
        <f>"=Hired"</f>
        <v>=Hired</v>
      </c>
      <c r="B667" t="s">
        <v>291</v>
      </c>
    </row>
    <row r="668" spans="1:2" x14ac:dyDescent="0.25">
      <c r="A668" t="s">
        <v>394</v>
      </c>
    </row>
    <row r="670" spans="1:2" x14ac:dyDescent="0.25">
      <c r="A670" t="s">
        <v>396</v>
      </c>
    </row>
    <row r="671" spans="1:2" x14ac:dyDescent="0.25">
      <c r="A671" t="str">
        <f>"=???????????????????????????????????????????????????*"</f>
        <v>=???????????????????????????????????????????????????*</v>
      </c>
    </row>
    <row r="672" spans="1:2" x14ac:dyDescent="0.25">
      <c r="A672" s="118" t="s">
        <v>1082</v>
      </c>
    </row>
    <row r="673" spans="1:9" x14ac:dyDescent="0.25">
      <c r="A673" s="118"/>
    </row>
    <row r="674" spans="1:9" x14ac:dyDescent="0.25">
      <c r="A674" s="118" t="s">
        <v>395</v>
      </c>
    </row>
    <row r="675" spans="1:9" x14ac:dyDescent="0.25">
      <c r="A675" s="118" t="str">
        <f>"=?????????????????????*"</f>
        <v>=?????????????????????*</v>
      </c>
    </row>
    <row r="676" spans="1:9" x14ac:dyDescent="0.25">
      <c r="A676" s="118" t="s">
        <v>1087</v>
      </c>
    </row>
    <row r="678" spans="1:9" x14ac:dyDescent="0.25">
      <c r="A678" t="s">
        <v>369</v>
      </c>
      <c r="B678" t="s">
        <v>378</v>
      </c>
      <c r="C678" t="s">
        <v>395</v>
      </c>
      <c r="D678" t="s">
        <v>396</v>
      </c>
      <c r="E678" t="s">
        <v>38</v>
      </c>
      <c r="F678" t="s">
        <v>397</v>
      </c>
      <c r="G678" t="s">
        <v>387</v>
      </c>
      <c r="H678" t="s">
        <v>391</v>
      </c>
      <c r="I678" t="s">
        <v>393</v>
      </c>
    </row>
    <row r="696" spans="1:4" x14ac:dyDescent="0.25">
      <c r="A696" s="26"/>
    </row>
    <row r="699" spans="1:4" x14ac:dyDescent="0.25">
      <c r="A699" t="s">
        <v>398</v>
      </c>
    </row>
    <row r="700" spans="1:4" x14ac:dyDescent="0.25">
      <c r="A700" t="s">
        <v>195</v>
      </c>
      <c r="B700" t="s">
        <v>196</v>
      </c>
      <c r="C700" t="s">
        <v>197</v>
      </c>
      <c r="D700" t="s">
        <v>198</v>
      </c>
    </row>
    <row r="701" spans="1:4" x14ac:dyDescent="0.25">
      <c r="A701" t="s">
        <v>199</v>
      </c>
      <c r="B701">
        <v>718</v>
      </c>
      <c r="C701" t="s">
        <v>952</v>
      </c>
      <c r="D701" t="s">
        <v>312</v>
      </c>
    </row>
    <row r="702" spans="1:4" x14ac:dyDescent="0.25">
      <c r="A702" t="s">
        <v>201</v>
      </c>
      <c r="B702">
        <v>723</v>
      </c>
      <c r="C702" t="s">
        <v>953</v>
      </c>
      <c r="D702" t="s">
        <v>294</v>
      </c>
    </row>
    <row r="703" spans="1:4" x14ac:dyDescent="0.25">
      <c r="A703" t="s">
        <v>204</v>
      </c>
      <c r="B703">
        <v>727</v>
      </c>
      <c r="C703" t="s">
        <v>954</v>
      </c>
      <c r="D703" t="s">
        <v>298</v>
      </c>
    </row>
    <row r="704" spans="1:4" x14ac:dyDescent="0.25">
      <c r="A704" t="s">
        <v>207</v>
      </c>
      <c r="B704">
        <v>731</v>
      </c>
      <c r="C704" t="s">
        <v>955</v>
      </c>
      <c r="D704" t="s">
        <v>300</v>
      </c>
    </row>
    <row r="705" spans="1:4" x14ac:dyDescent="0.25">
      <c r="A705" t="s">
        <v>210</v>
      </c>
      <c r="B705">
        <v>735</v>
      </c>
      <c r="C705" t="s">
        <v>956</v>
      </c>
      <c r="D705" t="s">
        <v>332</v>
      </c>
    </row>
    <row r="706" spans="1:4" x14ac:dyDescent="0.25">
      <c r="A706" t="s">
        <v>213</v>
      </c>
      <c r="B706">
        <v>739</v>
      </c>
      <c r="C706" t="s">
        <v>1077</v>
      </c>
      <c r="D706" t="s">
        <v>348</v>
      </c>
    </row>
    <row r="716" spans="1:4" x14ac:dyDescent="0.25">
      <c r="A716" t="s">
        <v>399</v>
      </c>
      <c r="B716" t="s">
        <v>399</v>
      </c>
    </row>
    <row r="717" spans="1:4" x14ac:dyDescent="0.25">
      <c r="A717" t="s">
        <v>400</v>
      </c>
    </row>
    <row r="718" spans="1:4" x14ac:dyDescent="0.25">
      <c r="B718" t="str">
        <f ca="1">CONCATENATE("&gt;",YEAR(TODAY()))</f>
        <v>&gt;2024</v>
      </c>
    </row>
    <row r="719" spans="1:4" x14ac:dyDescent="0.25">
      <c r="A719" t="s">
        <v>401</v>
      </c>
    </row>
    <row r="721" spans="1:2" x14ac:dyDescent="0.25">
      <c r="A721" t="s">
        <v>402</v>
      </c>
      <c r="B721" t="s">
        <v>402</v>
      </c>
    </row>
    <row r="722" spans="1:2" x14ac:dyDescent="0.25">
      <c r="A722" t="s">
        <v>400</v>
      </c>
    </row>
    <row r="723" spans="1:2" x14ac:dyDescent="0.25">
      <c r="B723" t="str">
        <f ca="1">CONCATENATE("&gt;",YEAR(TODAY()))</f>
        <v>&gt;2024</v>
      </c>
    </row>
    <row r="724" spans="1:2" x14ac:dyDescent="0.25">
      <c r="A724" t="s">
        <v>403</v>
      </c>
    </row>
    <row r="726" spans="1:2" x14ac:dyDescent="0.25">
      <c r="A726" t="s">
        <v>125</v>
      </c>
    </row>
    <row r="727" spans="1:2" x14ac:dyDescent="0.25">
      <c r="A727" t="s">
        <v>291</v>
      </c>
    </row>
    <row r="728" spans="1:2" x14ac:dyDescent="0.25">
      <c r="A728" t="s">
        <v>404</v>
      </c>
    </row>
    <row r="730" spans="1:2" x14ac:dyDescent="0.25">
      <c r="A730" t="s">
        <v>203</v>
      </c>
    </row>
    <row r="731" spans="1:2" x14ac:dyDescent="0.25">
      <c r="A731" t="s">
        <v>291</v>
      </c>
    </row>
    <row r="732" spans="1:2" x14ac:dyDescent="0.25">
      <c r="A732" t="s">
        <v>405</v>
      </c>
    </row>
    <row r="734" spans="1:2" x14ac:dyDescent="0.25">
      <c r="A734" t="s">
        <v>312</v>
      </c>
    </row>
    <row r="735" spans="1:2" x14ac:dyDescent="0.25">
      <c r="A735" t="s">
        <v>310</v>
      </c>
    </row>
    <row r="736" spans="1:2" x14ac:dyDescent="0.25">
      <c r="A736" s="118" t="s">
        <v>1095</v>
      </c>
    </row>
    <row r="738" spans="1:11" x14ac:dyDescent="0.25">
      <c r="A738" t="s">
        <v>339</v>
      </c>
    </row>
    <row r="739" spans="1:11" x14ac:dyDescent="0.25">
      <c r="A739" t="str">
        <f>"=???????????????????????????????????????????????????*"</f>
        <v>=???????????????????????????????????????????????????*</v>
      </c>
    </row>
    <row r="740" spans="1:11" x14ac:dyDescent="0.25">
      <c r="A740" t="s">
        <v>1078</v>
      </c>
    </row>
    <row r="742" spans="1:11" x14ac:dyDescent="0.25">
      <c r="A742" t="s">
        <v>406</v>
      </c>
      <c r="B742" t="s">
        <v>339</v>
      </c>
      <c r="C742" t="s">
        <v>408</v>
      </c>
      <c r="D742" t="s">
        <v>409</v>
      </c>
      <c r="E742" t="s">
        <v>399</v>
      </c>
      <c r="F742" t="s">
        <v>402</v>
      </c>
      <c r="G742" t="s">
        <v>410</v>
      </c>
      <c r="H742" t="s">
        <v>411</v>
      </c>
      <c r="I742" t="s">
        <v>125</v>
      </c>
      <c r="J742" t="s">
        <v>203</v>
      </c>
      <c r="K742" t="s">
        <v>312</v>
      </c>
    </row>
    <row r="744" spans="1:11" x14ac:dyDescent="0.25">
      <c r="A744" s="118"/>
    </row>
    <row r="749" spans="1:11" x14ac:dyDescent="0.25">
      <c r="A749" s="118"/>
    </row>
    <row r="753" spans="1:4" x14ac:dyDescent="0.25">
      <c r="A753" s="118"/>
    </row>
    <row r="760" spans="1:4" x14ac:dyDescent="0.25">
      <c r="A760" t="s">
        <v>412</v>
      </c>
    </row>
    <row r="761" spans="1:4" x14ac:dyDescent="0.25">
      <c r="A761" t="s">
        <v>195</v>
      </c>
      <c r="B761" t="s">
        <v>196</v>
      </c>
      <c r="C761" t="s">
        <v>197</v>
      </c>
      <c r="D761" t="s">
        <v>198</v>
      </c>
    </row>
    <row r="762" spans="1:4" x14ac:dyDescent="0.25">
      <c r="A762" t="s">
        <v>199</v>
      </c>
      <c r="B762">
        <v>830</v>
      </c>
      <c r="C762" t="s">
        <v>413</v>
      </c>
      <c r="D762" t="s">
        <v>125</v>
      </c>
    </row>
    <row r="763" spans="1:4" x14ac:dyDescent="0.25">
      <c r="A763" t="s">
        <v>201</v>
      </c>
      <c r="B763">
        <v>835</v>
      </c>
      <c r="C763" t="s">
        <v>957</v>
      </c>
      <c r="D763" t="s">
        <v>203</v>
      </c>
    </row>
    <row r="764" spans="1:4" x14ac:dyDescent="0.25">
      <c r="A764" t="s">
        <v>204</v>
      </c>
      <c r="B764">
        <v>839</v>
      </c>
      <c r="C764" t="s">
        <v>958</v>
      </c>
      <c r="D764" t="s">
        <v>312</v>
      </c>
    </row>
    <row r="765" spans="1:4" x14ac:dyDescent="0.25">
      <c r="A765" t="s">
        <v>207</v>
      </c>
      <c r="B765">
        <v>843</v>
      </c>
      <c r="C765" t="s">
        <v>959</v>
      </c>
      <c r="D765" t="s">
        <v>294</v>
      </c>
    </row>
    <row r="766" spans="1:4" x14ac:dyDescent="0.25">
      <c r="A766" t="s">
        <v>210</v>
      </c>
      <c r="B766">
        <v>847</v>
      </c>
      <c r="C766" t="s">
        <v>960</v>
      </c>
      <c r="D766" t="s">
        <v>304</v>
      </c>
    </row>
    <row r="767" spans="1:4" x14ac:dyDescent="0.25">
      <c r="A767" t="s">
        <v>213</v>
      </c>
      <c r="B767">
        <v>851</v>
      </c>
      <c r="C767" t="s">
        <v>961</v>
      </c>
      <c r="D767" t="s">
        <v>133</v>
      </c>
    </row>
    <row r="768" spans="1:4" x14ac:dyDescent="0.25">
      <c r="A768" t="s">
        <v>216</v>
      </c>
      <c r="B768">
        <v>855</v>
      </c>
      <c r="C768" t="s">
        <v>962</v>
      </c>
      <c r="D768" t="s">
        <v>246</v>
      </c>
    </row>
    <row r="769" spans="1:4" x14ac:dyDescent="0.25">
      <c r="A769" t="s">
        <v>218</v>
      </c>
      <c r="B769">
        <v>859</v>
      </c>
      <c r="C769" t="s">
        <v>963</v>
      </c>
      <c r="D769" t="s">
        <v>135</v>
      </c>
    </row>
    <row r="770" spans="1:4" x14ac:dyDescent="0.25">
      <c r="A770" t="s">
        <v>221</v>
      </c>
      <c r="B770">
        <v>863</v>
      </c>
      <c r="C770" t="s">
        <v>964</v>
      </c>
      <c r="D770" t="s">
        <v>133</v>
      </c>
    </row>
    <row r="771" spans="1:4" x14ac:dyDescent="0.25">
      <c r="A771" t="s">
        <v>224</v>
      </c>
      <c r="B771">
        <v>867</v>
      </c>
      <c r="C771" t="s">
        <v>965</v>
      </c>
      <c r="D771" t="s">
        <v>246</v>
      </c>
    </row>
    <row r="772" spans="1:4" x14ac:dyDescent="0.25">
      <c r="A772" t="s">
        <v>227</v>
      </c>
      <c r="B772">
        <v>871</v>
      </c>
      <c r="C772" t="s">
        <v>966</v>
      </c>
      <c r="D772" t="s">
        <v>135</v>
      </c>
    </row>
    <row r="773" spans="1:4" x14ac:dyDescent="0.25">
      <c r="A773" t="s">
        <v>230</v>
      </c>
      <c r="B773">
        <v>875</v>
      </c>
      <c r="C773" t="s">
        <v>967</v>
      </c>
      <c r="D773" t="s">
        <v>246</v>
      </c>
    </row>
    <row r="774" spans="1:4" x14ac:dyDescent="0.25">
      <c r="A774" t="s">
        <v>233</v>
      </c>
      <c r="B774">
        <v>879</v>
      </c>
      <c r="C774" t="s">
        <v>968</v>
      </c>
      <c r="D774" t="s">
        <v>135</v>
      </c>
    </row>
    <row r="775" spans="1:4" x14ac:dyDescent="0.25">
      <c r="A775" t="s">
        <v>236</v>
      </c>
      <c r="B775">
        <v>883</v>
      </c>
      <c r="C775" t="s">
        <v>969</v>
      </c>
      <c r="D775" t="s">
        <v>133</v>
      </c>
    </row>
    <row r="776" spans="1:4" x14ac:dyDescent="0.25">
      <c r="A776" t="s">
        <v>239</v>
      </c>
      <c r="B776">
        <v>887</v>
      </c>
      <c r="C776" t="s">
        <v>970</v>
      </c>
      <c r="D776" t="s">
        <v>246</v>
      </c>
    </row>
    <row r="777" spans="1:4" x14ac:dyDescent="0.25">
      <c r="A777" t="s">
        <v>242</v>
      </c>
      <c r="B777">
        <v>891</v>
      </c>
      <c r="C777" t="s">
        <v>971</v>
      </c>
      <c r="D777" t="s">
        <v>135</v>
      </c>
    </row>
    <row r="778" spans="1:4" x14ac:dyDescent="0.25">
      <c r="A778" t="s">
        <v>244</v>
      </c>
      <c r="B778">
        <v>895</v>
      </c>
      <c r="C778" t="s">
        <v>972</v>
      </c>
      <c r="D778" t="s">
        <v>133</v>
      </c>
    </row>
    <row r="779" spans="1:4" x14ac:dyDescent="0.25">
      <c r="A779" t="s">
        <v>247</v>
      </c>
      <c r="B779">
        <v>899</v>
      </c>
      <c r="C779" t="s">
        <v>973</v>
      </c>
      <c r="D779" t="s">
        <v>133</v>
      </c>
    </row>
    <row r="780" spans="1:4" x14ac:dyDescent="0.25">
      <c r="A780" t="s">
        <v>249</v>
      </c>
      <c r="B780">
        <v>903</v>
      </c>
      <c r="C780" t="s">
        <v>974</v>
      </c>
      <c r="D780" t="s">
        <v>246</v>
      </c>
    </row>
    <row r="781" spans="1:4" x14ac:dyDescent="0.25">
      <c r="A781" t="s">
        <v>251</v>
      </c>
      <c r="B781">
        <v>907</v>
      </c>
      <c r="C781" t="s">
        <v>975</v>
      </c>
      <c r="D781" t="s">
        <v>135</v>
      </c>
    </row>
    <row r="782" spans="1:4" x14ac:dyDescent="0.25">
      <c r="A782" t="s">
        <v>253</v>
      </c>
      <c r="B782">
        <v>911</v>
      </c>
      <c r="C782" t="s">
        <v>976</v>
      </c>
      <c r="D782" t="s">
        <v>215</v>
      </c>
    </row>
    <row r="783" spans="1:4" x14ac:dyDescent="0.25">
      <c r="A783" t="s">
        <v>255</v>
      </c>
      <c r="B783">
        <v>915</v>
      </c>
      <c r="C783" t="s">
        <v>977</v>
      </c>
      <c r="D783" t="s">
        <v>220</v>
      </c>
    </row>
    <row r="784" spans="1:4" x14ac:dyDescent="0.25">
      <c r="A784" t="s">
        <v>257</v>
      </c>
      <c r="B784">
        <v>919</v>
      </c>
      <c r="C784" t="s">
        <v>978</v>
      </c>
      <c r="D784" t="s">
        <v>273</v>
      </c>
    </row>
    <row r="785" spans="1:4" x14ac:dyDescent="0.25">
      <c r="A785" t="s">
        <v>259</v>
      </c>
      <c r="B785">
        <v>923</v>
      </c>
      <c r="C785" t="s">
        <v>979</v>
      </c>
      <c r="D785" t="s">
        <v>223</v>
      </c>
    </row>
    <row r="786" spans="1:4" x14ac:dyDescent="0.25">
      <c r="A786" t="s">
        <v>261</v>
      </c>
      <c r="B786">
        <v>927</v>
      </c>
      <c r="C786" t="s">
        <v>980</v>
      </c>
      <c r="D786" t="s">
        <v>279</v>
      </c>
    </row>
    <row r="787" spans="1:4" x14ac:dyDescent="0.25">
      <c r="A787" t="s">
        <v>263</v>
      </c>
      <c r="B787">
        <v>931</v>
      </c>
      <c r="C787" t="s">
        <v>981</v>
      </c>
      <c r="D787" t="s">
        <v>350</v>
      </c>
    </row>
    <row r="788" spans="1:4" x14ac:dyDescent="0.25">
      <c r="A788" t="s">
        <v>265</v>
      </c>
      <c r="B788">
        <v>935</v>
      </c>
      <c r="C788" t="s">
        <v>982</v>
      </c>
      <c r="D788" t="s">
        <v>232</v>
      </c>
    </row>
    <row r="789" spans="1:4" x14ac:dyDescent="0.25">
      <c r="A789" t="s">
        <v>267</v>
      </c>
      <c r="B789">
        <v>939</v>
      </c>
      <c r="C789" t="s">
        <v>983</v>
      </c>
      <c r="D789" t="s">
        <v>351</v>
      </c>
    </row>
    <row r="790" spans="1:4" x14ac:dyDescent="0.25">
      <c r="A790" t="s">
        <v>269</v>
      </c>
      <c r="B790">
        <v>943</v>
      </c>
      <c r="C790" t="s">
        <v>984</v>
      </c>
      <c r="D790" t="s">
        <v>352</v>
      </c>
    </row>
    <row r="791" spans="1:4" x14ac:dyDescent="0.25">
      <c r="A791" t="s">
        <v>271</v>
      </c>
      <c r="B791">
        <v>947</v>
      </c>
      <c r="C791" t="s">
        <v>985</v>
      </c>
      <c r="D791" t="s">
        <v>414</v>
      </c>
    </row>
    <row r="792" spans="1:4" x14ac:dyDescent="0.25">
      <c r="A792" t="s">
        <v>274</v>
      </c>
      <c r="B792">
        <v>951</v>
      </c>
      <c r="C792" t="s">
        <v>986</v>
      </c>
      <c r="D792" t="s">
        <v>415</v>
      </c>
    </row>
    <row r="793" spans="1:4" x14ac:dyDescent="0.25">
      <c r="A793" t="s">
        <v>277</v>
      </c>
      <c r="B793">
        <v>955</v>
      </c>
      <c r="C793" t="s">
        <v>987</v>
      </c>
      <c r="D793" t="s">
        <v>276</v>
      </c>
    </row>
    <row r="794" spans="1:4" x14ac:dyDescent="0.25">
      <c r="A794" t="s">
        <v>280</v>
      </c>
      <c r="B794">
        <v>959</v>
      </c>
      <c r="C794" t="s">
        <v>988</v>
      </c>
      <c r="D794" t="s">
        <v>226</v>
      </c>
    </row>
    <row r="795" spans="1:4" x14ac:dyDescent="0.25">
      <c r="A795" t="s">
        <v>354</v>
      </c>
      <c r="B795">
        <v>963</v>
      </c>
      <c r="C795" t="s">
        <v>1243</v>
      </c>
      <c r="D795" t="s">
        <v>229</v>
      </c>
    </row>
    <row r="796" spans="1:4" x14ac:dyDescent="0.25">
      <c r="A796" t="s">
        <v>356</v>
      </c>
      <c r="B796">
        <v>967</v>
      </c>
      <c r="C796" t="s">
        <v>990</v>
      </c>
      <c r="D796" t="s">
        <v>235</v>
      </c>
    </row>
    <row r="797" spans="1:4" x14ac:dyDescent="0.25">
      <c r="A797" t="s">
        <v>358</v>
      </c>
      <c r="B797">
        <v>971</v>
      </c>
      <c r="C797" t="s">
        <v>991</v>
      </c>
      <c r="D797" t="s">
        <v>212</v>
      </c>
    </row>
    <row r="798" spans="1:4" x14ac:dyDescent="0.25">
      <c r="A798" t="s">
        <v>455</v>
      </c>
      <c r="B798">
        <v>975</v>
      </c>
      <c r="C798" t="s">
        <v>994</v>
      </c>
      <c r="D798" t="s">
        <v>276</v>
      </c>
    </row>
    <row r="799" spans="1:4" x14ac:dyDescent="0.25">
      <c r="A799" t="s">
        <v>950</v>
      </c>
      <c r="B799">
        <v>979</v>
      </c>
      <c r="C799" t="s">
        <v>1025</v>
      </c>
      <c r="D799" t="s">
        <v>226</v>
      </c>
    </row>
    <row r="800" spans="1:4" x14ac:dyDescent="0.25">
      <c r="A800" t="s">
        <v>1007</v>
      </c>
      <c r="B800">
        <v>983</v>
      </c>
      <c r="C800" t="s">
        <v>1026</v>
      </c>
      <c r="D800" t="s">
        <v>229</v>
      </c>
    </row>
    <row r="801" spans="1:4" x14ac:dyDescent="0.25">
      <c r="A801" t="s">
        <v>1009</v>
      </c>
      <c r="B801">
        <v>987</v>
      </c>
      <c r="C801" t="s">
        <v>1027</v>
      </c>
      <c r="D801" t="s">
        <v>235</v>
      </c>
    </row>
    <row r="802" spans="1:4" x14ac:dyDescent="0.25">
      <c r="A802" t="s">
        <v>1011</v>
      </c>
      <c r="B802">
        <v>991</v>
      </c>
      <c r="C802" t="s">
        <v>1028</v>
      </c>
      <c r="D802" t="s">
        <v>276</v>
      </c>
    </row>
    <row r="803" spans="1:4" x14ac:dyDescent="0.25">
      <c r="A803" t="s">
        <v>1013</v>
      </c>
      <c r="B803">
        <v>995</v>
      </c>
      <c r="C803" t="s">
        <v>1029</v>
      </c>
      <c r="D803" t="s">
        <v>226</v>
      </c>
    </row>
    <row r="804" spans="1:4" x14ac:dyDescent="0.25">
      <c r="A804" t="s">
        <v>1018</v>
      </c>
      <c r="B804">
        <v>999</v>
      </c>
      <c r="C804" t="s">
        <v>1030</v>
      </c>
      <c r="D804" t="s">
        <v>229</v>
      </c>
    </row>
    <row r="805" spans="1:4" x14ac:dyDescent="0.25">
      <c r="A805" t="s">
        <v>1020</v>
      </c>
      <c r="B805">
        <v>1003</v>
      </c>
      <c r="C805" t="s">
        <v>1031</v>
      </c>
      <c r="D805" t="s">
        <v>235</v>
      </c>
    </row>
    <row r="806" spans="1:4" x14ac:dyDescent="0.25">
      <c r="A806" t="s">
        <v>1022</v>
      </c>
      <c r="B806">
        <v>1007</v>
      </c>
      <c r="C806" t="s">
        <v>1034</v>
      </c>
      <c r="D806" t="s">
        <v>238</v>
      </c>
    </row>
    <row r="807" spans="1:4" x14ac:dyDescent="0.25">
      <c r="A807" t="s">
        <v>1035</v>
      </c>
      <c r="B807">
        <v>1011</v>
      </c>
      <c r="C807" t="s">
        <v>1036</v>
      </c>
      <c r="D807" t="s">
        <v>238</v>
      </c>
    </row>
    <row r="808" spans="1:4" x14ac:dyDescent="0.25">
      <c r="A808" t="s">
        <v>1041</v>
      </c>
      <c r="B808">
        <v>1015</v>
      </c>
      <c r="C808" t="s">
        <v>1065</v>
      </c>
      <c r="D808" t="s">
        <v>209</v>
      </c>
    </row>
    <row r="809" spans="1:4" x14ac:dyDescent="0.25">
      <c r="A809" t="s">
        <v>1044</v>
      </c>
      <c r="B809">
        <v>1019</v>
      </c>
      <c r="C809" t="s">
        <v>1079</v>
      </c>
      <c r="D809" t="s">
        <v>348</v>
      </c>
    </row>
    <row r="810" spans="1:4" x14ac:dyDescent="0.25">
      <c r="A810" t="s">
        <v>1066</v>
      </c>
      <c r="B810">
        <v>1023</v>
      </c>
      <c r="C810" t="s">
        <v>1067</v>
      </c>
      <c r="D810" t="s">
        <v>415</v>
      </c>
    </row>
    <row r="811" spans="1:4" x14ac:dyDescent="0.25">
      <c r="A811" t="s">
        <v>1080</v>
      </c>
      <c r="B811">
        <v>1027</v>
      </c>
      <c r="C811" t="s">
        <v>1247</v>
      </c>
      <c r="D811" t="s">
        <v>229</v>
      </c>
    </row>
    <row r="829" spans="1:12" x14ac:dyDescent="0.25">
      <c r="A829" t="s">
        <v>101</v>
      </c>
      <c r="B829" t="s">
        <v>101</v>
      </c>
      <c r="C829" t="s">
        <v>101</v>
      </c>
      <c r="D829" t="s">
        <v>101</v>
      </c>
      <c r="E829" t="s">
        <v>101</v>
      </c>
      <c r="F829" t="s">
        <v>101</v>
      </c>
      <c r="G829" t="s">
        <v>101</v>
      </c>
      <c r="H829" t="s">
        <v>101</v>
      </c>
      <c r="I829" t="s">
        <v>101</v>
      </c>
      <c r="J829" t="s">
        <v>101</v>
      </c>
      <c r="K829" t="s">
        <v>101</v>
      </c>
      <c r="L829" t="s">
        <v>101</v>
      </c>
    </row>
    <row r="830" spans="1:12" x14ac:dyDescent="0.25">
      <c r="A830" t="s">
        <v>416</v>
      </c>
      <c r="B830" t="s">
        <v>417</v>
      </c>
      <c r="C830" t="s">
        <v>418</v>
      </c>
      <c r="D830" t="s">
        <v>419</v>
      </c>
      <c r="E830" t="s">
        <v>420</v>
      </c>
      <c r="F830" t="s">
        <v>421</v>
      </c>
      <c r="G830" t="s">
        <v>422</v>
      </c>
      <c r="H830" t="s">
        <v>423</v>
      </c>
      <c r="I830" t="s">
        <v>424</v>
      </c>
      <c r="J830" t="s">
        <v>425</v>
      </c>
      <c r="K830" t="s">
        <v>426</v>
      </c>
      <c r="L830" t="s">
        <v>427</v>
      </c>
    </row>
    <row r="831" spans="1:12" x14ac:dyDescent="0.25">
      <c r="A831" t="s">
        <v>1002</v>
      </c>
    </row>
    <row r="833" spans="1:2" x14ac:dyDescent="0.25">
      <c r="A833" t="s">
        <v>428</v>
      </c>
      <c r="B833" t="s">
        <v>428</v>
      </c>
    </row>
    <row r="834" spans="1:2" x14ac:dyDescent="0.25">
      <c r="A834" t="s">
        <v>429</v>
      </c>
    </row>
    <row r="835" spans="1:2" x14ac:dyDescent="0.25">
      <c r="B835" t="str">
        <f ca="1">CONCATENATE("&gt;",YEAR(TODAY()))</f>
        <v>&gt;2024</v>
      </c>
    </row>
    <row r="836" spans="1:2" x14ac:dyDescent="0.25">
      <c r="A836" s="118" t="s">
        <v>1047</v>
      </c>
    </row>
    <row r="838" spans="1:2" x14ac:dyDescent="0.25">
      <c r="A838" t="s">
        <v>282</v>
      </c>
      <c r="B838" t="s">
        <v>282</v>
      </c>
    </row>
    <row r="839" spans="1:2" x14ac:dyDescent="0.25">
      <c r="A839" t="s">
        <v>283</v>
      </c>
      <c r="B839" t="s">
        <v>284</v>
      </c>
    </row>
    <row r="840" spans="1:2" x14ac:dyDescent="0.25">
      <c r="A840" s="118" t="s">
        <v>1046</v>
      </c>
    </row>
    <row r="842" spans="1:2" x14ac:dyDescent="0.25">
      <c r="A842" t="s">
        <v>286</v>
      </c>
      <c r="B842" t="s">
        <v>286</v>
      </c>
    </row>
    <row r="843" spans="1:2" x14ac:dyDescent="0.25">
      <c r="A843" t="s">
        <v>287</v>
      </c>
      <c r="B843" t="s">
        <v>288</v>
      </c>
    </row>
    <row r="844" spans="1:2" x14ac:dyDescent="0.25">
      <c r="A844" t="s">
        <v>430</v>
      </c>
    </row>
    <row r="846" spans="1:2" x14ac:dyDescent="0.25">
      <c r="A846" t="s">
        <v>290</v>
      </c>
    </row>
    <row r="847" spans="1:2" x14ac:dyDescent="0.25">
      <c r="A847" t="s">
        <v>291</v>
      </c>
    </row>
    <row r="848" spans="1:2" x14ac:dyDescent="0.25">
      <c r="A848" t="s">
        <v>292</v>
      </c>
    </row>
    <row r="850" spans="1:2" x14ac:dyDescent="0.25">
      <c r="A850" t="s">
        <v>312</v>
      </c>
      <c r="B850" t="s">
        <v>313</v>
      </c>
    </row>
    <row r="851" spans="1:2" x14ac:dyDescent="0.25">
      <c r="A851" t="s">
        <v>310</v>
      </c>
      <c r="B851" t="str">
        <f>"=Benefit not given"</f>
        <v>=Benefit not given</v>
      </c>
    </row>
    <row r="852" spans="1:2" x14ac:dyDescent="0.25">
      <c r="A852" t="s">
        <v>431</v>
      </c>
    </row>
    <row r="854" spans="1:2" x14ac:dyDescent="0.25">
      <c r="A854" t="s">
        <v>313</v>
      </c>
      <c r="B854" t="s">
        <v>315</v>
      </c>
    </row>
    <row r="855" spans="1:2" x14ac:dyDescent="0.25">
      <c r="A855" t="str">
        <f>"=Benefit not given"</f>
        <v>=Benefit not given</v>
      </c>
      <c r="B855" t="s">
        <v>291</v>
      </c>
    </row>
    <row r="856" spans="1:2" x14ac:dyDescent="0.25">
      <c r="A856" t="s">
        <v>432</v>
      </c>
    </row>
    <row r="858" spans="1:2" x14ac:dyDescent="0.25">
      <c r="A858" t="s">
        <v>313</v>
      </c>
      <c r="B858" t="s">
        <v>317</v>
      </c>
    </row>
    <row r="859" spans="1:2" x14ac:dyDescent="0.25">
      <c r="A859" t="str">
        <f>"=Benefit not given"</f>
        <v>=Benefit not given</v>
      </c>
      <c r="B859" t="s">
        <v>291</v>
      </c>
    </row>
    <row r="860" spans="1:2" x14ac:dyDescent="0.25">
      <c r="A860" t="s">
        <v>433</v>
      </c>
    </row>
    <row r="862" spans="1:2" x14ac:dyDescent="0.25">
      <c r="A862" t="s">
        <v>312</v>
      </c>
      <c r="B862" t="s">
        <v>313</v>
      </c>
    </row>
    <row r="863" spans="1:2" x14ac:dyDescent="0.25">
      <c r="A863" t="s">
        <v>310</v>
      </c>
      <c r="B863" t="str">
        <f>"=House to Non full time service Director"</f>
        <v>=House to Non full time service Director</v>
      </c>
    </row>
    <row r="864" spans="1:2" x14ac:dyDescent="0.25">
      <c r="A864" t="s">
        <v>434</v>
      </c>
    </row>
    <row r="866" spans="1:2" x14ac:dyDescent="0.25">
      <c r="A866" t="s">
        <v>313</v>
      </c>
      <c r="B866" t="s">
        <v>315</v>
      </c>
    </row>
    <row r="867" spans="1:2" x14ac:dyDescent="0.25">
      <c r="A867" t="str">
        <f>"=House to Non full time service Director"</f>
        <v>=House to Non full time service Director</v>
      </c>
      <c r="B867" t="s">
        <v>291</v>
      </c>
    </row>
    <row r="868" spans="1:2" x14ac:dyDescent="0.25">
      <c r="A868" t="s">
        <v>320</v>
      </c>
    </row>
    <row r="870" spans="1:2" x14ac:dyDescent="0.25">
      <c r="A870" t="s">
        <v>313</v>
      </c>
      <c r="B870" t="s">
        <v>317</v>
      </c>
    </row>
    <row r="871" spans="1:2" x14ac:dyDescent="0.25">
      <c r="A871" t="str">
        <f>"=House to Non full time service Director"</f>
        <v>=House to Non full time service Director</v>
      </c>
      <c r="B871" t="s">
        <v>291</v>
      </c>
    </row>
    <row r="872" spans="1:2" x14ac:dyDescent="0.25">
      <c r="A872" t="s">
        <v>321</v>
      </c>
    </row>
    <row r="874" spans="1:2" x14ac:dyDescent="0.25">
      <c r="A874" t="s">
        <v>313</v>
      </c>
      <c r="B874" t="s">
        <v>315</v>
      </c>
    </row>
    <row r="875" spans="1:2" x14ac:dyDescent="0.25">
      <c r="A875" t="s">
        <v>323</v>
      </c>
      <c r="B875" t="s">
        <v>310</v>
      </c>
    </row>
    <row r="876" spans="1:2" x14ac:dyDescent="0.25">
      <c r="A876" t="s">
        <v>322</v>
      </c>
    </row>
    <row r="878" spans="1:2" x14ac:dyDescent="0.25">
      <c r="A878" t="s">
        <v>313</v>
      </c>
      <c r="B878" t="s">
        <v>317</v>
      </c>
    </row>
    <row r="879" spans="1:2" x14ac:dyDescent="0.25">
      <c r="A879" t="s">
        <v>323</v>
      </c>
      <c r="B879" t="s">
        <v>310</v>
      </c>
    </row>
    <row r="880" spans="1:2" x14ac:dyDescent="0.25">
      <c r="A880" t="s">
        <v>324</v>
      </c>
    </row>
    <row r="882" spans="1:41" x14ac:dyDescent="0.25">
      <c r="A882" t="s">
        <v>312</v>
      </c>
      <c r="B882" t="s">
        <v>313</v>
      </c>
    </row>
    <row r="883" spans="1:41" x14ac:dyDescent="0.25">
      <c r="A883" t="s">
        <v>291</v>
      </c>
      <c r="B883" t="s">
        <v>323</v>
      </c>
    </row>
    <row r="884" spans="1:41" x14ac:dyDescent="0.25">
      <c r="A884" t="s">
        <v>435</v>
      </c>
    </row>
    <row r="886" spans="1:41" x14ac:dyDescent="0.25">
      <c r="A886" t="s">
        <v>313</v>
      </c>
      <c r="B886" t="s">
        <v>315</v>
      </c>
    </row>
    <row r="887" spans="1:41" x14ac:dyDescent="0.25">
      <c r="A887" t="s">
        <v>436</v>
      </c>
      <c r="B887" t="s">
        <v>310</v>
      </c>
    </row>
    <row r="888" spans="1:41" x14ac:dyDescent="0.25">
      <c r="A888" t="s">
        <v>326</v>
      </c>
    </row>
    <row r="890" spans="1:41" x14ac:dyDescent="0.25">
      <c r="A890" t="s">
        <v>313</v>
      </c>
      <c r="B890" t="s">
        <v>317</v>
      </c>
    </row>
    <row r="891" spans="1:41" x14ac:dyDescent="0.25">
      <c r="A891" s="27" t="s">
        <v>436</v>
      </c>
      <c r="B891" s="27" t="s">
        <v>310</v>
      </c>
      <c r="C891" s="27"/>
      <c r="D891" s="27"/>
      <c r="E891" s="27"/>
      <c r="F891" s="27"/>
      <c r="H891" s="27"/>
      <c r="I891" s="27"/>
      <c r="J891" s="27"/>
      <c r="K891" s="27"/>
      <c r="L891" s="27"/>
      <c r="M891" s="27"/>
      <c r="N891" s="27"/>
      <c r="O891" s="27"/>
      <c r="P891" s="27"/>
      <c r="Q891" s="27"/>
      <c r="R891" s="27"/>
      <c r="S891" s="27"/>
      <c r="T891" s="27"/>
      <c r="V891" s="27"/>
      <c r="W891" s="27"/>
      <c r="X891" s="27"/>
      <c r="Y891" s="27"/>
      <c r="Z891" s="27"/>
      <c r="AA891" s="27"/>
      <c r="AB891" s="27"/>
      <c r="AC891" s="27"/>
      <c r="AD891" s="27"/>
      <c r="AE891" s="27"/>
      <c r="AF891" s="27"/>
      <c r="AG891" s="27"/>
      <c r="AH891" s="27"/>
      <c r="AI891" s="27"/>
      <c r="AJ891" s="27"/>
      <c r="AK891" s="27"/>
      <c r="AL891" s="27"/>
      <c r="AM891" s="27"/>
      <c r="AN891" s="27"/>
      <c r="AO891" s="27"/>
    </row>
    <row r="892" spans="1:41" x14ac:dyDescent="0.25">
      <c r="A892" t="s">
        <v>327</v>
      </c>
    </row>
    <row r="894" spans="1:41" x14ac:dyDescent="0.25">
      <c r="A894" t="s">
        <v>312</v>
      </c>
      <c r="B894" t="s">
        <v>313</v>
      </c>
    </row>
    <row r="895" spans="1:41" x14ac:dyDescent="0.25">
      <c r="A895" t="s">
        <v>291</v>
      </c>
      <c r="B895" t="s">
        <v>436</v>
      </c>
    </row>
    <row r="896" spans="1:41" x14ac:dyDescent="0.25">
      <c r="A896" t="s">
        <v>437</v>
      </c>
    </row>
    <row r="898" spans="1:2" x14ac:dyDescent="0.25">
      <c r="A898" t="s">
        <v>312</v>
      </c>
      <c r="B898" t="s">
        <v>313</v>
      </c>
    </row>
    <row r="899" spans="1:2" x14ac:dyDescent="0.25">
      <c r="A899" t="s">
        <v>291</v>
      </c>
      <c r="B899" t="str">
        <f>"=Agriculture Farm"</f>
        <v>=Agriculture Farm</v>
      </c>
    </row>
    <row r="900" spans="1:2" x14ac:dyDescent="0.25">
      <c r="A900" t="s">
        <v>438</v>
      </c>
    </row>
    <row r="902" spans="1:2" x14ac:dyDescent="0.25">
      <c r="A902" t="s">
        <v>313</v>
      </c>
      <c r="B902" t="s">
        <v>315</v>
      </c>
    </row>
    <row r="903" spans="1:2" x14ac:dyDescent="0.25">
      <c r="A903" t="str">
        <f>"=Agriculture Farm"</f>
        <v>=Agriculture Farm</v>
      </c>
      <c r="B903" t="s">
        <v>291</v>
      </c>
    </row>
    <row r="904" spans="1:2" x14ac:dyDescent="0.25">
      <c r="A904" t="s">
        <v>330</v>
      </c>
    </row>
    <row r="906" spans="1:2" x14ac:dyDescent="0.25">
      <c r="A906" t="s">
        <v>313</v>
      </c>
      <c r="B906" t="s">
        <v>317</v>
      </c>
    </row>
    <row r="907" spans="1:2" x14ac:dyDescent="0.25">
      <c r="A907" s="26" t="str">
        <f>"=Agriculture Farm"</f>
        <v>=Agriculture Farm</v>
      </c>
      <c r="B907" t="s">
        <v>291</v>
      </c>
    </row>
    <row r="908" spans="1:2" x14ac:dyDescent="0.25">
      <c r="A908" t="s">
        <v>331</v>
      </c>
    </row>
    <row r="910" spans="1:2" x14ac:dyDescent="0.25">
      <c r="A910" t="s">
        <v>313</v>
      </c>
      <c r="B910" t="s">
        <v>439</v>
      </c>
    </row>
    <row r="911" spans="1:2" x14ac:dyDescent="0.25">
      <c r="A911" t="str">
        <f>"=Agriculture Farm"</f>
        <v>=Agriculture Farm</v>
      </c>
      <c r="B911" t="s">
        <v>291</v>
      </c>
    </row>
    <row r="912" spans="1:2" x14ac:dyDescent="0.25">
      <c r="A912" t="s">
        <v>364</v>
      </c>
    </row>
    <row r="914" spans="1:1" x14ac:dyDescent="0.25">
      <c r="A914" t="s">
        <v>296</v>
      </c>
    </row>
    <row r="915" spans="1:1" x14ac:dyDescent="0.25">
      <c r="A915" t="s">
        <v>291</v>
      </c>
    </row>
    <row r="916" spans="1:1" x14ac:dyDescent="0.25">
      <c r="A916" t="s">
        <v>440</v>
      </c>
    </row>
    <row r="918" spans="1:1" x14ac:dyDescent="0.25">
      <c r="A918" t="s">
        <v>298</v>
      </c>
    </row>
    <row r="919" spans="1:1" x14ac:dyDescent="0.25">
      <c r="A919" t="s">
        <v>291</v>
      </c>
    </row>
    <row r="920" spans="1:1" x14ac:dyDescent="0.25">
      <c r="A920" t="s">
        <v>441</v>
      </c>
    </row>
    <row r="922" spans="1:1" x14ac:dyDescent="0.25">
      <c r="A922" t="s">
        <v>300</v>
      </c>
    </row>
    <row r="923" spans="1:1" x14ac:dyDescent="0.25">
      <c r="A923" t="s">
        <v>291</v>
      </c>
    </row>
    <row r="924" spans="1:1" x14ac:dyDescent="0.25">
      <c r="A924" t="s">
        <v>301</v>
      </c>
    </row>
    <row r="926" spans="1:1" x14ac:dyDescent="0.25">
      <c r="A926" t="s">
        <v>302</v>
      </c>
    </row>
    <row r="927" spans="1:1" x14ac:dyDescent="0.25">
      <c r="A927" t="s">
        <v>291</v>
      </c>
    </row>
    <row r="928" spans="1:1" x14ac:dyDescent="0.25">
      <c r="A928" t="s">
        <v>303</v>
      </c>
    </row>
    <row r="930" spans="1:1" x14ac:dyDescent="0.25">
      <c r="A930" t="s">
        <v>304</v>
      </c>
    </row>
    <row r="931" spans="1:1" x14ac:dyDescent="0.25">
      <c r="A931" s="118" t="s">
        <v>291</v>
      </c>
    </row>
    <row r="932" spans="1:1" x14ac:dyDescent="0.25">
      <c r="A932" t="s">
        <v>442</v>
      </c>
    </row>
    <row r="934" spans="1:1" x14ac:dyDescent="0.25">
      <c r="A934" t="s">
        <v>209</v>
      </c>
    </row>
    <row r="935" spans="1:1" x14ac:dyDescent="0.25">
      <c r="A935" t="s">
        <v>291</v>
      </c>
    </row>
    <row r="936" spans="1:1" x14ac:dyDescent="0.25">
      <c r="A936" s="118" t="s">
        <v>306</v>
      </c>
    </row>
    <row r="938" spans="1:1" x14ac:dyDescent="0.25">
      <c r="A938" t="s">
        <v>241</v>
      </c>
    </row>
    <row r="939" spans="1:1" x14ac:dyDescent="0.25">
      <c r="A939" t="s">
        <v>291</v>
      </c>
    </row>
    <row r="940" spans="1:1" x14ac:dyDescent="0.25">
      <c r="A940" t="s">
        <v>307</v>
      </c>
    </row>
    <row r="942" spans="1:1" x14ac:dyDescent="0.25">
      <c r="A942" t="s">
        <v>212</v>
      </c>
    </row>
    <row r="943" spans="1:1" x14ac:dyDescent="0.25">
      <c r="A943" t="s">
        <v>291</v>
      </c>
    </row>
    <row r="944" spans="1:1" x14ac:dyDescent="0.25">
      <c r="A944" t="s">
        <v>308</v>
      </c>
    </row>
    <row r="946" spans="1:3" x14ac:dyDescent="0.25">
      <c r="A946" t="s">
        <v>215</v>
      </c>
    </row>
    <row r="947" spans="1:3" x14ac:dyDescent="0.25">
      <c r="A947" t="s">
        <v>291</v>
      </c>
    </row>
    <row r="948" spans="1:3" x14ac:dyDescent="0.25">
      <c r="A948" t="s">
        <v>443</v>
      </c>
    </row>
    <row r="950" spans="1:3" x14ac:dyDescent="0.25">
      <c r="A950" t="s">
        <v>132</v>
      </c>
    </row>
    <row r="951" spans="1:3" x14ac:dyDescent="0.25">
      <c r="A951" t="s">
        <v>310</v>
      </c>
    </row>
    <row r="952" spans="1:3" x14ac:dyDescent="0.25">
      <c r="A952" s="118" t="s">
        <v>1097</v>
      </c>
    </row>
    <row r="954" spans="1:3" x14ac:dyDescent="0.25">
      <c r="A954" t="s">
        <v>282</v>
      </c>
      <c r="B954" t="s">
        <v>286</v>
      </c>
      <c r="C954" t="s">
        <v>332</v>
      </c>
    </row>
    <row r="955" spans="1:3" x14ac:dyDescent="0.25">
      <c r="A955" t="str">
        <f>"=Resident"</f>
        <v>=Resident</v>
      </c>
      <c r="B955" t="str">
        <f>"=Primary Employee"</f>
        <v>=Primary Employee</v>
      </c>
      <c r="C955" t="s">
        <v>310</v>
      </c>
    </row>
    <row r="956" spans="1:3" x14ac:dyDescent="0.25">
      <c r="A956" t="s">
        <v>367</v>
      </c>
    </row>
    <row r="958" spans="1:3" x14ac:dyDescent="0.25">
      <c r="A958" t="s">
        <v>282</v>
      </c>
      <c r="B958" t="s">
        <v>286</v>
      </c>
      <c r="C958" t="s">
        <v>206</v>
      </c>
    </row>
    <row r="959" spans="1:3" x14ac:dyDescent="0.25">
      <c r="A959" t="str">
        <f>"=Resident"</f>
        <v>=Resident</v>
      </c>
      <c r="B959" t="str">
        <f>"=Primary Employee"</f>
        <v>=Primary Employee</v>
      </c>
      <c r="C959" t="s">
        <v>310</v>
      </c>
    </row>
    <row r="960" spans="1:3" x14ac:dyDescent="0.25">
      <c r="A960" t="s">
        <v>334</v>
      </c>
    </row>
    <row r="962" spans="1:5" x14ac:dyDescent="0.25">
      <c r="A962" t="s">
        <v>282</v>
      </c>
      <c r="B962" t="s">
        <v>286</v>
      </c>
      <c r="C962" t="s">
        <v>428</v>
      </c>
      <c r="D962" t="s">
        <v>335</v>
      </c>
    </row>
    <row r="963" spans="1:5" x14ac:dyDescent="0.25">
      <c r="A963" t="str">
        <f>"=Resident"</f>
        <v>=Resident</v>
      </c>
      <c r="B963" t="str">
        <f>"=Primary Employee"</f>
        <v>=Primary Employee</v>
      </c>
      <c r="C963" t="str">
        <f>IF(RtnInf.RtnPrdFrom&lt;&gt;"",IF(OR(AND(MID(RtnInf.RtnPrdFrom,7,4)="2024",MID(RtnInf.RtnPrdFrom,4,2)&gt;="03"),MID(RtnInf.RtnPrdFrom,7,4)&gt;"2024"),"","&lt;2021"),"")</f>
        <v/>
      </c>
      <c r="D963" t="str">
        <f>IF(RtnInf.RtnPrdFrom&lt;&gt;"",IF(MID(RtnInf.RtnPrdFrom,7,4)&lt;"2021","=",IF(OR(AND(MID(RtnInf.RtnPrdFrom,7,4)="2024",MID(RtnInf.RtnPrdFrom,4,2)&gt;="03"),MID(RtnInf.RtnPrdFrom,7,4)&gt;"2024"),"=","&lt;&gt;")),"")</f>
        <v/>
      </c>
    </row>
    <row r="964" spans="1:5" x14ac:dyDescent="0.25">
      <c r="A964" t="str">
        <f>IF(RtnInf.RtnPrdFrom&lt;&gt;"",IF(MID(RtnInf.RtnPrdFrom,7,4)&lt;"2021","As 'Residential Status' contains 'Resident' and 'Type' contains 'Primary Employee', 'Deposit on Home Ownership Saving Plan (N)' should contain value in following row(s): ",IF(OR(AND(MID(RtnInf.RtnPrdFrom,7,4)="2024",MID(RtnInf.RtnPrdFrom,4,2)&gt;="03"),MID(RtnInf.RtnPrdFrom,7,4)&gt;"2024"),"As 'Residential Status' contains 'Resident' and 'Type' contains 'Primary Employee', 'Affordable Housing Relief (N)' should contain value in following row(s): ","As 'Residential Status' contains 'Resident' and 'Type' contains 'Primary Employee', 'Deposit on Home Ownership Saving Plan (N)' should be blank in following row(s):")),"")</f>
        <v/>
      </c>
    </row>
    <row r="966" spans="1:5" x14ac:dyDescent="0.25">
      <c r="A966" t="s">
        <v>282</v>
      </c>
      <c r="B966" t="s">
        <v>286</v>
      </c>
      <c r="C966" t="s">
        <v>336</v>
      </c>
    </row>
    <row r="967" spans="1:5" x14ac:dyDescent="0.25">
      <c r="A967" t="str">
        <f>"=Resident"</f>
        <v>=Resident</v>
      </c>
      <c r="B967" t="str">
        <f>"=Primary Employee"</f>
        <v>=Primary Employee</v>
      </c>
      <c r="C967" t="s">
        <v>310</v>
      </c>
    </row>
    <row r="968" spans="1:5" x14ac:dyDescent="0.25">
      <c r="A968" t="s">
        <v>337</v>
      </c>
    </row>
    <row r="970" spans="1:5" x14ac:dyDescent="0.25">
      <c r="A970" t="s">
        <v>313</v>
      </c>
      <c r="B970" t="s">
        <v>313</v>
      </c>
      <c r="C970" t="s">
        <v>313</v>
      </c>
      <c r="D970" t="s">
        <v>313</v>
      </c>
      <c r="E970" t="s">
        <v>313</v>
      </c>
    </row>
    <row r="971" spans="1:5" x14ac:dyDescent="0.25">
      <c r="A971" t="s">
        <v>943</v>
      </c>
      <c r="B971" t="s">
        <v>944</v>
      </c>
      <c r="C971" t="s">
        <v>945</v>
      </c>
      <c r="D971" t="s">
        <v>946</v>
      </c>
      <c r="E971" t="s">
        <v>947</v>
      </c>
    </row>
    <row r="972" spans="1:5" x14ac:dyDescent="0.25">
      <c r="A972" t="s">
        <v>948</v>
      </c>
    </row>
    <row r="974" spans="1:5" x14ac:dyDescent="0.25">
      <c r="A974" t="s">
        <v>282</v>
      </c>
      <c r="B974" t="s">
        <v>286</v>
      </c>
      <c r="C974" t="s">
        <v>332</v>
      </c>
    </row>
    <row r="975" spans="1:5" x14ac:dyDescent="0.25">
      <c r="A975" t="str">
        <f>"=Non-Resident"</f>
        <v>=Non-Resident</v>
      </c>
      <c r="B975" t="str">
        <f>"=Primary Employee"</f>
        <v>=Primary Employee</v>
      </c>
      <c r="C975" t="s">
        <v>291</v>
      </c>
    </row>
    <row r="976" spans="1:5" x14ac:dyDescent="0.25">
      <c r="A976" t="s">
        <v>1048</v>
      </c>
    </row>
    <row r="978" spans="1:3" x14ac:dyDescent="0.25">
      <c r="A978" t="s">
        <v>282</v>
      </c>
      <c r="B978" t="s">
        <v>286</v>
      </c>
      <c r="C978" t="s">
        <v>206</v>
      </c>
    </row>
    <row r="979" spans="1:3" x14ac:dyDescent="0.25">
      <c r="A979" t="str">
        <f>"=Non-Resident"</f>
        <v>=Non-Resident</v>
      </c>
      <c r="B979" t="str">
        <f>"=Primary Employee"</f>
        <v>=Primary Employee</v>
      </c>
      <c r="C979" t="s">
        <v>310</v>
      </c>
    </row>
    <row r="980" spans="1:3" x14ac:dyDescent="0.25">
      <c r="A980" t="s">
        <v>1049</v>
      </c>
    </row>
    <row r="982" spans="1:3" x14ac:dyDescent="0.25">
      <c r="A982" t="s">
        <v>282</v>
      </c>
      <c r="B982" t="s">
        <v>286</v>
      </c>
      <c r="C982" t="s">
        <v>335</v>
      </c>
    </row>
    <row r="983" spans="1:3" x14ac:dyDescent="0.25">
      <c r="A983" t="str">
        <f>"=Non-Resident"</f>
        <v>=Non-Resident</v>
      </c>
      <c r="B983" t="str">
        <f>"=Primary Employee"</f>
        <v>=Primary Employee</v>
      </c>
      <c r="C983" t="str">
        <f>IF(RtnInf.RtnPrdFrom&lt;&gt;"",IF(MID(RtnInf.RtnPrdFrom,7,4)&lt;"2021","=",IF(OR(AND(MID(RtnInf.RtnPrdFrom,7,4)="2024",MID(RtnInf.RtnPrdFrom,4,2)&gt;="03"),MID(RtnInf.RtnPrdFrom,7,4)&gt;"2024"),"=","&lt;&gt;")),"")</f>
        <v/>
      </c>
    </row>
    <row r="984" spans="1:3" x14ac:dyDescent="0.25">
      <c r="A984" t="str">
        <f>IF(RtnInf.RtnPrdFrom&lt;&gt;"",IF(MID(RtnInf.RtnPrdFrom,7,4)&lt;"2021","As 'Residential Status' contains 'Non-Resident' and 'Type' contains 'Primary Employee', 'Deposit on Home Ownership Saving Plan (N)' should contain value in following row(s): ",IF(OR(AND(MID(RtnInf.RtnPrdFrom,7,4)="2024",MID(RtnInf.RtnPrdFrom,4,2)&gt;="03"),MID(RtnInf.RtnPrdFrom,7,4)&gt;"2024"),"As 'Residential Status' contains 'Non-Resident' and 'Type' contains 'Primary Employee', 'Affordable Housing Relief (N)' should contain value in following row(s): ","As 'Residential Status' contains 'Non-Resident' and 'Type' contains 'Primary Employee', 'Deposit on Home Ownership Saving Plan (N)' should be blank in following row(s):")),"")</f>
        <v/>
      </c>
    </row>
    <row r="986" spans="1:3" x14ac:dyDescent="0.25">
      <c r="A986" t="s">
        <v>282</v>
      </c>
      <c r="B986" t="s">
        <v>286</v>
      </c>
      <c r="C986" t="s">
        <v>336</v>
      </c>
    </row>
    <row r="987" spans="1:3" x14ac:dyDescent="0.25">
      <c r="A987" t="str">
        <f>"=Non-Resident"</f>
        <v>=Non-Resident</v>
      </c>
      <c r="B987" t="str">
        <f>"=Primary Employee"</f>
        <v>=Primary Employee</v>
      </c>
      <c r="C987" t="s">
        <v>291</v>
      </c>
    </row>
    <row r="988" spans="1:3" x14ac:dyDescent="0.25">
      <c r="A988" t="s">
        <v>1050</v>
      </c>
    </row>
    <row r="990" spans="1:3" x14ac:dyDescent="0.25">
      <c r="A990" t="s">
        <v>286</v>
      </c>
      <c r="B990" t="s">
        <v>332</v>
      </c>
    </row>
    <row r="991" spans="1:3" x14ac:dyDescent="0.25">
      <c r="A991" t="str">
        <f>"=Secondary Employee"</f>
        <v>=Secondary Employee</v>
      </c>
      <c r="B991" t="s">
        <v>291</v>
      </c>
    </row>
    <row r="992" spans="1:3" x14ac:dyDescent="0.25">
      <c r="A992" t="s">
        <v>1015</v>
      </c>
    </row>
    <row r="994" spans="1:2" x14ac:dyDescent="0.25">
      <c r="A994" t="s">
        <v>286</v>
      </c>
      <c r="B994" t="s">
        <v>206</v>
      </c>
    </row>
    <row r="995" spans="1:2" x14ac:dyDescent="0.25">
      <c r="A995" t="str">
        <f>"=Secondary Employee"</f>
        <v>=Secondary Employee</v>
      </c>
      <c r="B995" t="s">
        <v>291</v>
      </c>
    </row>
    <row r="996" spans="1:2" x14ac:dyDescent="0.25">
      <c r="A996" t="s">
        <v>1016</v>
      </c>
    </row>
    <row r="998" spans="1:2" x14ac:dyDescent="0.25">
      <c r="A998" t="s">
        <v>286</v>
      </c>
      <c r="B998" t="s">
        <v>335</v>
      </c>
    </row>
    <row r="999" spans="1:2" x14ac:dyDescent="0.25">
      <c r="A999" t="str">
        <f>"=Secondary Employee"</f>
        <v>=Secondary Employee</v>
      </c>
      <c r="B999" t="str">
        <f>IF(RtnInf.RtnPrdFrom&lt;&gt;"",IF(OR(AND(MID(RtnInf.RtnPrdFrom,7,4)="2024",MID(RtnInf.RtnPrdFrom,4,2)&gt;="03"),MID(RtnInf.RtnPrdFrom,7,4)&gt;"2024"),"=","&lt;&gt;"),"")</f>
        <v/>
      </c>
    </row>
    <row r="1000" spans="1:2" x14ac:dyDescent="0.25">
      <c r="A1000" t="str">
        <f>IF(RtnInf.RtnPrdFrom&lt;&gt;"",IF(OR(AND(MID(RtnInf.RtnPrdFrom,7,4)="2024",MID(RtnInf.RtnPrdFrom,4,2)&gt;="03"),MID(RtnInf.RtnPrdFrom,7,4)&gt;"2024"),"As 'Type' contains 'Secondary Employee', 'Affordable Housing Relief (N)' should be blank in following row(s): ","As 'Type' contains 'Secondary Employee', 'Deposit on Home Ownership Saving Plan (N)' should be blank in following row(s): "),"")</f>
        <v/>
      </c>
    </row>
    <row r="1002" spans="1:2" x14ac:dyDescent="0.25">
      <c r="A1002" t="s">
        <v>286</v>
      </c>
      <c r="B1002" t="s">
        <v>336</v>
      </c>
    </row>
    <row r="1003" spans="1:2" x14ac:dyDescent="0.25">
      <c r="A1003" t="str">
        <f>"=Secondary Employee"</f>
        <v>=Secondary Employee</v>
      </c>
      <c r="B1003" t="s">
        <v>291</v>
      </c>
    </row>
    <row r="1004" spans="1:2" x14ac:dyDescent="0.25">
      <c r="A1004" t="s">
        <v>1017</v>
      </c>
    </row>
    <row r="1006" spans="1:2" x14ac:dyDescent="0.25">
      <c r="A1006" t="s">
        <v>282</v>
      </c>
      <c r="B1006" t="s">
        <v>133</v>
      </c>
    </row>
    <row r="1007" spans="1:2" x14ac:dyDescent="0.25">
      <c r="A1007" t="str">
        <f>"=Resident"</f>
        <v>=Resident</v>
      </c>
      <c r="B1007" t="s">
        <v>310</v>
      </c>
    </row>
    <row r="1008" spans="1:2" x14ac:dyDescent="0.25">
      <c r="A1008" t="s">
        <v>1039</v>
      </c>
    </row>
    <row r="1010" spans="1:2" x14ac:dyDescent="0.25">
      <c r="A1010" t="s">
        <v>282</v>
      </c>
      <c r="B1010" t="s">
        <v>133</v>
      </c>
    </row>
    <row r="1011" spans="1:2" x14ac:dyDescent="0.25">
      <c r="A1011" t="str">
        <f>"=Non-Resident"</f>
        <v>=Non-Resident</v>
      </c>
      <c r="B1011" t="s">
        <v>291</v>
      </c>
    </row>
    <row r="1012" spans="1:2" x14ac:dyDescent="0.25">
      <c r="A1012" t="s">
        <v>1051</v>
      </c>
    </row>
    <row r="1014" spans="1:2" x14ac:dyDescent="0.25">
      <c r="A1014" t="s">
        <v>1061</v>
      </c>
    </row>
    <row r="1015" spans="1:2" x14ac:dyDescent="0.25">
      <c r="A1015" t="s">
        <v>310</v>
      </c>
    </row>
    <row r="1016" spans="1:2" x14ac:dyDescent="0.25">
      <c r="A1016" t="s">
        <v>1062</v>
      </c>
    </row>
    <row r="1018" spans="1:2" x14ac:dyDescent="0.25">
      <c r="A1018" t="s">
        <v>339</v>
      </c>
    </row>
    <row r="1019" spans="1:2" x14ac:dyDescent="0.25">
      <c r="A1019" t="str">
        <f>"=???????????????????????????????????????????????????*"</f>
        <v>=???????????????????????????????????????????????????*</v>
      </c>
    </row>
    <row r="1020" spans="1:2" x14ac:dyDescent="0.25">
      <c r="A1020" t="s">
        <v>1078</v>
      </c>
    </row>
    <row r="1022" spans="1:2" x14ac:dyDescent="0.25">
      <c r="A1022" t="s">
        <v>132</v>
      </c>
    </row>
    <row r="1023" spans="1:2" x14ac:dyDescent="0.25">
      <c r="A1023" t="s">
        <v>996</v>
      </c>
    </row>
    <row r="1024" spans="1:2" x14ac:dyDescent="0.25">
      <c r="A1024" s="118" t="s">
        <v>1098</v>
      </c>
    </row>
    <row r="1025" spans="1:39" x14ac:dyDescent="0.25">
      <c r="A1025" s="118"/>
    </row>
    <row r="1026" spans="1:39" x14ac:dyDescent="0.25">
      <c r="A1026" s="118" t="s">
        <v>428</v>
      </c>
      <c r="B1026" t="s">
        <v>335</v>
      </c>
    </row>
    <row r="1027" spans="1:39" x14ac:dyDescent="0.25">
      <c r="A1027" s="118" t="str">
        <f>IF(RtnInf.RtnPrdFrom&lt;&gt;"",IF(OR(AND(MID(RtnInf.RtnPrdFrom,7,4)="2024",MID(RtnInf.RtnPrdFrom,4,2)&gt;="03"),MID(RtnInf.RtnPrdFrom,7,4)&gt;"2024"),"","&gt;=2021"),"")</f>
        <v/>
      </c>
      <c r="B1027" t="str">
        <f>IF(RtnInf.RtnPrdFrom&lt;&gt;"",IF(OR(AND(MID(RtnInf.RtnPrdFrom,7,4)="2024",MID(RtnInf.RtnPrdFrom,4,2)&gt;="03"),MID(RtnInf.RtnPrdFrom,7,4)&gt;"2024"),"=","&lt;&gt;"),"")</f>
        <v/>
      </c>
    </row>
    <row r="1028" spans="1:39" x14ac:dyDescent="0.25">
      <c r="A1028" t="str">
        <f>IF(RtnInf.RtnPrdFrom&lt;&gt;"",IF(OR(AND(MID(RtnInf.RtnPrdFrom,7,4)="2024",MID(RtnInf.RtnPrdFrom,4,2)&gt;="03"),MID(RtnInf.RtnPrdFrom,7,4)&gt;"2024"),"'As 'Year' is greater than or equal to 2024 March, 'Affordable Housing Relief (N)' should contain value in following row(s): ","'As 'Year' is greater than or equal to 2021, 'Deposit on Home Ownership Saving Plan (N)' should be blank in following row(s): "),"")</f>
        <v/>
      </c>
    </row>
    <row r="1030" spans="1:39" x14ac:dyDescent="0.25">
      <c r="A1030" t="s">
        <v>406</v>
      </c>
      <c r="B1030" t="s">
        <v>339</v>
      </c>
      <c r="C1030" t="s">
        <v>101</v>
      </c>
      <c r="D1030" t="s">
        <v>428</v>
      </c>
      <c r="E1030" t="s">
        <v>282</v>
      </c>
      <c r="F1030" t="s">
        <v>286</v>
      </c>
      <c r="G1030" t="s">
        <v>444</v>
      </c>
      <c r="H1030" t="s">
        <v>445</v>
      </c>
      <c r="I1030" t="s">
        <v>446</v>
      </c>
      <c r="J1030" t="s">
        <v>447</v>
      </c>
      <c r="K1030" t="s">
        <v>448</v>
      </c>
      <c r="L1030" t="s">
        <v>449</v>
      </c>
      <c r="M1030" t="s">
        <v>450</v>
      </c>
      <c r="N1030" t="s">
        <v>451</v>
      </c>
      <c r="O1030" t="s">
        <v>290</v>
      </c>
      <c r="P1030" t="s">
        <v>1061</v>
      </c>
      <c r="Q1030" t="s">
        <v>125</v>
      </c>
      <c r="R1030" t="s">
        <v>203</v>
      </c>
      <c r="S1030" t="s">
        <v>312</v>
      </c>
      <c r="T1030" t="s">
        <v>313</v>
      </c>
      <c r="U1030" t="s">
        <v>315</v>
      </c>
      <c r="V1030" t="s">
        <v>294</v>
      </c>
      <c r="W1030" t="s">
        <v>317</v>
      </c>
      <c r="X1030" t="s">
        <v>296</v>
      </c>
      <c r="Y1030" t="s">
        <v>298</v>
      </c>
      <c r="Z1030" t="s">
        <v>300</v>
      </c>
      <c r="AA1030" t="s">
        <v>332</v>
      </c>
      <c r="AB1030" t="s">
        <v>302</v>
      </c>
      <c r="AC1030" t="s">
        <v>206</v>
      </c>
      <c r="AD1030" t="s">
        <v>335</v>
      </c>
      <c r="AE1030" t="s">
        <v>304</v>
      </c>
      <c r="AF1030" t="s">
        <v>209</v>
      </c>
      <c r="AG1030" t="s">
        <v>241</v>
      </c>
      <c r="AH1030" t="s">
        <v>336</v>
      </c>
      <c r="AI1030" t="s">
        <v>133</v>
      </c>
      <c r="AJ1030" t="s">
        <v>212</v>
      </c>
      <c r="AK1030" t="s">
        <v>246</v>
      </c>
      <c r="AL1030" t="s">
        <v>215</v>
      </c>
      <c r="AM1030" t="s">
        <v>132</v>
      </c>
    </row>
    <row r="1086" spans="1:4" x14ac:dyDescent="0.25">
      <c r="A1086" t="s">
        <v>452</v>
      </c>
    </row>
    <row r="1087" spans="1:4" x14ac:dyDescent="0.25">
      <c r="A1087" t="s">
        <v>195</v>
      </c>
      <c r="B1087" t="s">
        <v>196</v>
      </c>
      <c r="C1087" t="s">
        <v>197</v>
      </c>
      <c r="D1087" t="s">
        <v>198</v>
      </c>
    </row>
    <row r="1088" spans="1:4" x14ac:dyDescent="0.25">
      <c r="A1088" t="s">
        <v>199</v>
      </c>
      <c r="B1088">
        <v>1154</v>
      </c>
      <c r="C1088" t="s">
        <v>413</v>
      </c>
      <c r="D1088" t="s">
        <v>125</v>
      </c>
    </row>
    <row r="1089" spans="1:4" x14ac:dyDescent="0.25">
      <c r="A1089" t="s">
        <v>201</v>
      </c>
      <c r="B1089">
        <v>1159</v>
      </c>
      <c r="C1089" t="s">
        <v>957</v>
      </c>
      <c r="D1089" t="s">
        <v>203</v>
      </c>
    </row>
    <row r="1090" spans="1:4" x14ac:dyDescent="0.25">
      <c r="A1090" t="s">
        <v>204</v>
      </c>
      <c r="B1090">
        <v>1163</v>
      </c>
      <c r="C1090" t="s">
        <v>958</v>
      </c>
      <c r="D1090" t="s">
        <v>312</v>
      </c>
    </row>
    <row r="1091" spans="1:4" x14ac:dyDescent="0.25">
      <c r="A1091" t="s">
        <v>207</v>
      </c>
      <c r="B1091">
        <v>1167</v>
      </c>
      <c r="C1091" t="s">
        <v>959</v>
      </c>
      <c r="D1091" t="s">
        <v>294</v>
      </c>
    </row>
    <row r="1092" spans="1:4" x14ac:dyDescent="0.25">
      <c r="A1092" t="s">
        <v>210</v>
      </c>
      <c r="B1092">
        <v>1171</v>
      </c>
      <c r="C1092" t="s">
        <v>960</v>
      </c>
      <c r="D1092" t="s">
        <v>209</v>
      </c>
    </row>
    <row r="1093" spans="1:4" x14ac:dyDescent="0.25">
      <c r="A1093" t="s">
        <v>213</v>
      </c>
      <c r="B1093">
        <v>1175</v>
      </c>
      <c r="C1093" t="s">
        <v>961</v>
      </c>
      <c r="D1093" t="s">
        <v>212</v>
      </c>
    </row>
    <row r="1094" spans="1:4" x14ac:dyDescent="0.25">
      <c r="A1094" t="s">
        <v>216</v>
      </c>
      <c r="B1094">
        <v>1179</v>
      </c>
      <c r="C1094" t="s">
        <v>962</v>
      </c>
      <c r="D1094" t="s">
        <v>215</v>
      </c>
    </row>
    <row r="1095" spans="1:4" x14ac:dyDescent="0.25">
      <c r="A1095" t="s">
        <v>218</v>
      </c>
      <c r="B1095">
        <v>1183</v>
      </c>
      <c r="C1095" t="s">
        <v>963</v>
      </c>
      <c r="D1095" t="s">
        <v>220</v>
      </c>
    </row>
    <row r="1096" spans="1:4" x14ac:dyDescent="0.25">
      <c r="A1096" t="s">
        <v>221</v>
      </c>
      <c r="B1096">
        <v>1187</v>
      </c>
      <c r="C1096" t="s">
        <v>964</v>
      </c>
      <c r="D1096" t="s">
        <v>212</v>
      </c>
    </row>
    <row r="1097" spans="1:4" x14ac:dyDescent="0.25">
      <c r="A1097" t="s">
        <v>224</v>
      </c>
      <c r="B1097">
        <v>1191</v>
      </c>
      <c r="C1097" t="s">
        <v>965</v>
      </c>
      <c r="D1097" t="s">
        <v>215</v>
      </c>
    </row>
    <row r="1098" spans="1:4" x14ac:dyDescent="0.25">
      <c r="A1098" t="s">
        <v>227</v>
      </c>
      <c r="B1098">
        <v>1195</v>
      </c>
      <c r="C1098" t="s">
        <v>966</v>
      </c>
      <c r="D1098" t="s">
        <v>220</v>
      </c>
    </row>
    <row r="1099" spans="1:4" x14ac:dyDescent="0.25">
      <c r="A1099" t="s">
        <v>230</v>
      </c>
      <c r="B1099">
        <v>1199</v>
      </c>
      <c r="C1099" t="s">
        <v>967</v>
      </c>
      <c r="D1099" t="s">
        <v>215</v>
      </c>
    </row>
    <row r="1100" spans="1:4" x14ac:dyDescent="0.25">
      <c r="A1100" t="s">
        <v>233</v>
      </c>
      <c r="B1100">
        <v>1203</v>
      </c>
      <c r="C1100" t="s">
        <v>968</v>
      </c>
      <c r="D1100" t="s">
        <v>220</v>
      </c>
    </row>
    <row r="1101" spans="1:4" x14ac:dyDescent="0.25">
      <c r="A1101" t="s">
        <v>236</v>
      </c>
      <c r="B1101">
        <v>1207</v>
      </c>
      <c r="C1101" t="s">
        <v>969</v>
      </c>
      <c r="D1101" t="s">
        <v>212</v>
      </c>
    </row>
    <row r="1102" spans="1:4" x14ac:dyDescent="0.25">
      <c r="A1102" t="s">
        <v>239</v>
      </c>
      <c r="B1102">
        <v>1211</v>
      </c>
      <c r="C1102" t="s">
        <v>970</v>
      </c>
      <c r="D1102" t="s">
        <v>215</v>
      </c>
    </row>
    <row r="1103" spans="1:4" x14ac:dyDescent="0.25">
      <c r="A1103" t="s">
        <v>242</v>
      </c>
      <c r="B1103">
        <v>1215</v>
      </c>
      <c r="C1103" t="s">
        <v>971</v>
      </c>
      <c r="D1103" t="s">
        <v>220</v>
      </c>
    </row>
    <row r="1104" spans="1:4" x14ac:dyDescent="0.25">
      <c r="A1104" t="s">
        <v>244</v>
      </c>
      <c r="B1104">
        <v>1219</v>
      </c>
      <c r="C1104" t="s">
        <v>972</v>
      </c>
      <c r="D1104" t="s">
        <v>212</v>
      </c>
    </row>
    <row r="1105" spans="1:4" x14ac:dyDescent="0.25">
      <c r="A1105" t="s">
        <v>247</v>
      </c>
      <c r="B1105">
        <v>1223</v>
      </c>
      <c r="C1105" t="s">
        <v>973</v>
      </c>
      <c r="D1105" t="s">
        <v>212</v>
      </c>
    </row>
    <row r="1106" spans="1:4" x14ac:dyDescent="0.25">
      <c r="A1106" t="s">
        <v>249</v>
      </c>
      <c r="B1106">
        <v>1227</v>
      </c>
      <c r="C1106" t="s">
        <v>992</v>
      </c>
      <c r="D1106" t="s">
        <v>317</v>
      </c>
    </row>
    <row r="1107" spans="1:4" x14ac:dyDescent="0.25">
      <c r="A1107" t="s">
        <v>251</v>
      </c>
      <c r="B1107">
        <v>1231</v>
      </c>
      <c r="C1107" t="s">
        <v>975</v>
      </c>
      <c r="D1107" t="s">
        <v>215</v>
      </c>
    </row>
    <row r="1108" spans="1:4" x14ac:dyDescent="0.25">
      <c r="A1108" t="s">
        <v>253</v>
      </c>
      <c r="B1108">
        <v>1235</v>
      </c>
      <c r="C1108" t="s">
        <v>976</v>
      </c>
      <c r="D1108" t="s">
        <v>220</v>
      </c>
    </row>
    <row r="1109" spans="1:4" x14ac:dyDescent="0.25">
      <c r="A1109" t="s">
        <v>255</v>
      </c>
      <c r="B1109">
        <v>1239</v>
      </c>
      <c r="C1109" t="s">
        <v>993</v>
      </c>
      <c r="D1109" t="s">
        <v>135</v>
      </c>
    </row>
    <row r="1110" spans="1:4" x14ac:dyDescent="0.25">
      <c r="A1110" t="s">
        <v>257</v>
      </c>
      <c r="B1110">
        <v>1243</v>
      </c>
      <c r="C1110" t="s">
        <v>978</v>
      </c>
      <c r="D1110" t="s">
        <v>273</v>
      </c>
    </row>
    <row r="1111" spans="1:4" x14ac:dyDescent="0.25">
      <c r="A1111" t="s">
        <v>259</v>
      </c>
      <c r="B1111">
        <v>1247</v>
      </c>
      <c r="C1111" t="s">
        <v>979</v>
      </c>
      <c r="D1111" t="s">
        <v>273</v>
      </c>
    </row>
    <row r="1112" spans="1:4" x14ac:dyDescent="0.25">
      <c r="A1112" t="s">
        <v>261</v>
      </c>
      <c r="B1112">
        <v>1251</v>
      </c>
      <c r="C1112" t="s">
        <v>980</v>
      </c>
      <c r="D1112" t="s">
        <v>276</v>
      </c>
    </row>
    <row r="1113" spans="1:4" x14ac:dyDescent="0.25">
      <c r="A1113" t="s">
        <v>263</v>
      </c>
      <c r="B1113">
        <v>1255</v>
      </c>
      <c r="C1113" t="s">
        <v>981</v>
      </c>
      <c r="D1113" t="s">
        <v>226</v>
      </c>
    </row>
    <row r="1114" spans="1:4" x14ac:dyDescent="0.25">
      <c r="A1114" t="s">
        <v>265</v>
      </c>
      <c r="B1114">
        <v>1259</v>
      </c>
      <c r="C1114" t="s">
        <v>982</v>
      </c>
      <c r="D1114" t="s">
        <v>232</v>
      </c>
    </row>
    <row r="1115" spans="1:4" x14ac:dyDescent="0.25">
      <c r="A1115" t="s">
        <v>267</v>
      </c>
      <c r="B1115">
        <v>1263</v>
      </c>
      <c r="C1115" t="s">
        <v>983</v>
      </c>
      <c r="D1115" t="s">
        <v>351</v>
      </c>
    </row>
    <row r="1116" spans="1:4" x14ac:dyDescent="0.25">
      <c r="A1116" t="s">
        <v>269</v>
      </c>
      <c r="B1116">
        <v>1267</v>
      </c>
      <c r="C1116" t="s">
        <v>984</v>
      </c>
      <c r="D1116" t="s">
        <v>235</v>
      </c>
    </row>
    <row r="1117" spans="1:4" x14ac:dyDescent="0.25">
      <c r="A1117" t="s">
        <v>271</v>
      </c>
      <c r="B1117">
        <v>1271</v>
      </c>
      <c r="C1117" t="s">
        <v>985</v>
      </c>
      <c r="D1117" t="s">
        <v>238</v>
      </c>
    </row>
    <row r="1118" spans="1:4" x14ac:dyDescent="0.25">
      <c r="A1118" t="s">
        <v>274</v>
      </c>
      <c r="B1118">
        <v>1275</v>
      </c>
      <c r="C1118" t="s">
        <v>986</v>
      </c>
      <c r="D1118" t="s">
        <v>414</v>
      </c>
    </row>
    <row r="1119" spans="1:4" x14ac:dyDescent="0.25">
      <c r="A1119" t="s">
        <v>277</v>
      </c>
      <c r="B1119">
        <v>1279</v>
      </c>
      <c r="C1119" t="s">
        <v>1037</v>
      </c>
      <c r="D1119" t="s">
        <v>453</v>
      </c>
    </row>
    <row r="1120" spans="1:4" x14ac:dyDescent="0.25">
      <c r="A1120" t="s">
        <v>280</v>
      </c>
      <c r="B1120">
        <v>1283</v>
      </c>
      <c r="C1120" t="s">
        <v>1038</v>
      </c>
      <c r="D1120" t="s">
        <v>454</v>
      </c>
    </row>
    <row r="1121" spans="1:4" x14ac:dyDescent="0.25">
      <c r="A1121" t="s">
        <v>354</v>
      </c>
      <c r="B1121">
        <v>1287</v>
      </c>
      <c r="C1121" t="s">
        <v>989</v>
      </c>
      <c r="D1121" t="s">
        <v>279</v>
      </c>
    </row>
    <row r="1122" spans="1:4" x14ac:dyDescent="0.25">
      <c r="A1122" t="s">
        <v>356</v>
      </c>
      <c r="B1122">
        <v>1291</v>
      </c>
      <c r="C1122" t="s">
        <v>990</v>
      </c>
      <c r="D1122" t="s">
        <v>229</v>
      </c>
    </row>
    <row r="1123" spans="1:4" x14ac:dyDescent="0.25">
      <c r="A1123" t="s">
        <v>358</v>
      </c>
      <c r="B1123">
        <v>1295</v>
      </c>
      <c r="C1123" t="s">
        <v>1245</v>
      </c>
      <c r="D1123" t="s">
        <v>350</v>
      </c>
    </row>
    <row r="1124" spans="1:4" x14ac:dyDescent="0.25">
      <c r="A1124" t="s">
        <v>455</v>
      </c>
      <c r="B1124">
        <v>1299</v>
      </c>
      <c r="C1124" t="s">
        <v>994</v>
      </c>
      <c r="D1124" t="s">
        <v>352</v>
      </c>
    </row>
    <row r="1125" spans="1:4" x14ac:dyDescent="0.25">
      <c r="A1125" t="s">
        <v>950</v>
      </c>
      <c r="B1125">
        <v>1303</v>
      </c>
      <c r="C1125" t="s">
        <v>995</v>
      </c>
      <c r="D1125" t="s">
        <v>246</v>
      </c>
    </row>
    <row r="1126" spans="1:4" x14ac:dyDescent="0.25">
      <c r="A1126" t="s">
        <v>1007</v>
      </c>
      <c r="B1126">
        <v>1307</v>
      </c>
      <c r="C1126" t="s">
        <v>1026</v>
      </c>
      <c r="D1126" t="s">
        <v>279</v>
      </c>
    </row>
    <row r="1127" spans="1:4" x14ac:dyDescent="0.25">
      <c r="A1127" t="s">
        <v>1009</v>
      </c>
      <c r="B1127">
        <v>1311</v>
      </c>
      <c r="C1127" t="s">
        <v>1027</v>
      </c>
      <c r="D1127" t="s">
        <v>229</v>
      </c>
    </row>
    <row r="1128" spans="1:4" x14ac:dyDescent="0.25">
      <c r="A1128" t="s">
        <v>1011</v>
      </c>
      <c r="B1128">
        <v>1315</v>
      </c>
      <c r="C1128" t="s">
        <v>1032</v>
      </c>
      <c r="D1128" t="s">
        <v>350</v>
      </c>
    </row>
    <row r="1129" spans="1:4" x14ac:dyDescent="0.25">
      <c r="A1129" t="s">
        <v>1013</v>
      </c>
      <c r="B1129">
        <v>1319</v>
      </c>
      <c r="C1129" t="s">
        <v>1033</v>
      </c>
      <c r="D1129" t="s">
        <v>352</v>
      </c>
    </row>
    <row r="1130" spans="1:4" x14ac:dyDescent="0.25">
      <c r="A1130" t="s">
        <v>1018</v>
      </c>
      <c r="B1130">
        <v>1323</v>
      </c>
      <c r="C1130" t="s">
        <v>1030</v>
      </c>
      <c r="D1130" t="s">
        <v>279</v>
      </c>
    </row>
    <row r="1131" spans="1:4" x14ac:dyDescent="0.25">
      <c r="A1131" t="s">
        <v>1020</v>
      </c>
      <c r="B1131">
        <v>1327</v>
      </c>
      <c r="C1131" t="s">
        <v>1031</v>
      </c>
      <c r="D1131" t="s">
        <v>229</v>
      </c>
    </row>
    <row r="1132" spans="1:4" x14ac:dyDescent="0.25">
      <c r="A1132" t="s">
        <v>1022</v>
      </c>
      <c r="B1132">
        <v>1331</v>
      </c>
      <c r="C1132" t="s">
        <v>1034</v>
      </c>
      <c r="D1132" t="s">
        <v>350</v>
      </c>
    </row>
    <row r="1133" spans="1:4" x14ac:dyDescent="0.25">
      <c r="A1133" t="s">
        <v>1035</v>
      </c>
      <c r="B1133">
        <v>1335</v>
      </c>
      <c r="C1133" t="s">
        <v>1036</v>
      </c>
      <c r="D1133" t="s">
        <v>352</v>
      </c>
    </row>
    <row r="1134" spans="1:4" x14ac:dyDescent="0.25">
      <c r="A1134" t="s">
        <v>1041</v>
      </c>
      <c r="B1134">
        <v>1339</v>
      </c>
      <c r="C1134" t="s">
        <v>1043</v>
      </c>
      <c r="D1134" t="s">
        <v>353</v>
      </c>
    </row>
    <row r="1135" spans="1:4" x14ac:dyDescent="0.25">
      <c r="A1135" t="s">
        <v>1044</v>
      </c>
      <c r="B1135">
        <v>1343</v>
      </c>
      <c r="C1135" t="s">
        <v>1045</v>
      </c>
      <c r="D1135" t="s">
        <v>353</v>
      </c>
    </row>
    <row r="1136" spans="1:4" x14ac:dyDescent="0.25">
      <c r="A1136" t="s">
        <v>1066</v>
      </c>
      <c r="B1136">
        <v>1347</v>
      </c>
      <c r="C1136" t="s">
        <v>1067</v>
      </c>
      <c r="D1136" t="s">
        <v>241</v>
      </c>
    </row>
    <row r="1137" spans="1:4" x14ac:dyDescent="0.25">
      <c r="A1137" t="s">
        <v>1080</v>
      </c>
      <c r="B1137">
        <v>1351</v>
      </c>
      <c r="C1137" t="s">
        <v>1081</v>
      </c>
      <c r="D1137" t="s">
        <v>348</v>
      </c>
    </row>
    <row r="1138" spans="1:4" x14ac:dyDescent="0.25">
      <c r="A1138" t="s">
        <v>1085</v>
      </c>
      <c r="B1138">
        <v>1355</v>
      </c>
      <c r="C1138" t="s">
        <v>1086</v>
      </c>
      <c r="D1138" t="s">
        <v>317</v>
      </c>
    </row>
    <row r="1139" spans="1:4" x14ac:dyDescent="0.25">
      <c r="A1139" t="s">
        <v>1099</v>
      </c>
      <c r="B1139">
        <v>1359</v>
      </c>
      <c r="C1139" t="s">
        <v>1100</v>
      </c>
      <c r="D1139" t="s">
        <v>454</v>
      </c>
    </row>
    <row r="1140" spans="1:4" x14ac:dyDescent="0.25">
      <c r="A1140" t="s">
        <v>1244</v>
      </c>
      <c r="B1140">
        <v>1363</v>
      </c>
      <c r="C1140" t="s">
        <v>1248</v>
      </c>
      <c r="D1140" t="s">
        <v>350</v>
      </c>
    </row>
    <row r="1153" spans="1:12" x14ac:dyDescent="0.25">
      <c r="A1153" t="s">
        <v>101</v>
      </c>
      <c r="B1153" t="s">
        <v>101</v>
      </c>
      <c r="C1153" t="s">
        <v>101</v>
      </c>
      <c r="D1153" t="s">
        <v>101</v>
      </c>
      <c r="E1153" t="s">
        <v>101</v>
      </c>
      <c r="F1153" t="s">
        <v>101</v>
      </c>
      <c r="G1153" t="s">
        <v>101</v>
      </c>
      <c r="H1153" t="s">
        <v>101</v>
      </c>
      <c r="I1153" t="s">
        <v>101</v>
      </c>
      <c r="J1153" t="s">
        <v>101</v>
      </c>
      <c r="K1153" t="s">
        <v>101</v>
      </c>
      <c r="L1153" t="s">
        <v>101</v>
      </c>
    </row>
    <row r="1154" spans="1:12" x14ac:dyDescent="0.25">
      <c r="A1154" t="s">
        <v>416</v>
      </c>
      <c r="B1154" t="s">
        <v>417</v>
      </c>
      <c r="C1154" t="s">
        <v>418</v>
      </c>
      <c r="D1154" t="s">
        <v>419</v>
      </c>
      <c r="E1154" t="s">
        <v>420</v>
      </c>
      <c r="F1154" t="s">
        <v>421</v>
      </c>
      <c r="G1154" t="s">
        <v>422</v>
      </c>
      <c r="H1154" t="s">
        <v>423</v>
      </c>
      <c r="I1154" t="s">
        <v>424</v>
      </c>
      <c r="J1154" t="s">
        <v>425</v>
      </c>
      <c r="K1154" t="s">
        <v>426</v>
      </c>
      <c r="L1154" t="s">
        <v>427</v>
      </c>
    </row>
    <row r="1155" spans="1:12" x14ac:dyDescent="0.25">
      <c r="A1155" t="s">
        <v>1002</v>
      </c>
    </row>
    <row r="1157" spans="1:12" x14ac:dyDescent="0.25">
      <c r="A1157" t="s">
        <v>428</v>
      </c>
      <c r="B1157" t="s">
        <v>428</v>
      </c>
    </row>
    <row r="1158" spans="1:12" x14ac:dyDescent="0.25">
      <c r="A1158" t="s">
        <v>429</v>
      </c>
    </row>
    <row r="1159" spans="1:12" x14ac:dyDescent="0.25">
      <c r="B1159" t="str">
        <f ca="1">CONCATENATE("&gt;",YEAR(TODAY()))</f>
        <v>&gt;2024</v>
      </c>
    </row>
    <row r="1160" spans="1:12" x14ac:dyDescent="0.25">
      <c r="A1160" t="s">
        <v>1003</v>
      </c>
    </row>
    <row r="1162" spans="1:12" x14ac:dyDescent="0.25">
      <c r="A1162" t="s">
        <v>282</v>
      </c>
      <c r="B1162" t="s">
        <v>282</v>
      </c>
    </row>
    <row r="1163" spans="1:12" x14ac:dyDescent="0.25">
      <c r="A1163" t="s">
        <v>283</v>
      </c>
      <c r="B1163" t="s">
        <v>284</v>
      </c>
    </row>
    <row r="1164" spans="1:12" x14ac:dyDescent="0.25">
      <c r="A1164" t="s">
        <v>1004</v>
      </c>
    </row>
    <row r="1166" spans="1:12" x14ac:dyDescent="0.25">
      <c r="A1166" t="s">
        <v>286</v>
      </c>
      <c r="B1166" t="s">
        <v>286</v>
      </c>
    </row>
    <row r="1167" spans="1:12" x14ac:dyDescent="0.25">
      <c r="A1167" t="s">
        <v>287</v>
      </c>
      <c r="B1167" t="s">
        <v>288</v>
      </c>
    </row>
    <row r="1168" spans="1:12" x14ac:dyDescent="0.25">
      <c r="A1168" t="s">
        <v>430</v>
      </c>
    </row>
    <row r="1170" spans="1:2" x14ac:dyDescent="0.25">
      <c r="A1170" t="s">
        <v>290</v>
      </c>
    </row>
    <row r="1171" spans="1:2" x14ac:dyDescent="0.25">
      <c r="A1171" t="s">
        <v>291</v>
      </c>
    </row>
    <row r="1172" spans="1:2" x14ac:dyDescent="0.25">
      <c r="A1172" t="s">
        <v>292</v>
      </c>
    </row>
    <row r="1174" spans="1:2" x14ac:dyDescent="0.25">
      <c r="A1174" t="s">
        <v>312</v>
      </c>
      <c r="B1174" t="s">
        <v>313</v>
      </c>
    </row>
    <row r="1175" spans="1:2" x14ac:dyDescent="0.25">
      <c r="A1175" t="s">
        <v>310</v>
      </c>
      <c r="B1175" t="str">
        <f>"=Benefit not given"</f>
        <v>=Benefit not given</v>
      </c>
    </row>
    <row r="1176" spans="1:2" x14ac:dyDescent="0.25">
      <c r="A1176" t="s">
        <v>431</v>
      </c>
    </row>
    <row r="1178" spans="1:2" x14ac:dyDescent="0.25">
      <c r="A1178" t="s">
        <v>313</v>
      </c>
      <c r="B1178" t="s">
        <v>315</v>
      </c>
    </row>
    <row r="1179" spans="1:2" x14ac:dyDescent="0.25">
      <c r="A1179" t="str">
        <f>"=Benefit not given"</f>
        <v>=Benefit not given</v>
      </c>
      <c r="B1179" t="s">
        <v>291</v>
      </c>
    </row>
    <row r="1180" spans="1:2" x14ac:dyDescent="0.25">
      <c r="A1180" t="s">
        <v>432</v>
      </c>
    </row>
    <row r="1182" spans="1:2" x14ac:dyDescent="0.25">
      <c r="A1182" t="s">
        <v>313</v>
      </c>
      <c r="B1182" t="s">
        <v>317</v>
      </c>
    </row>
    <row r="1183" spans="1:2" x14ac:dyDescent="0.25">
      <c r="A1183" t="str">
        <f>"=Benefit not given"</f>
        <v>=Benefit not given</v>
      </c>
      <c r="B1183" t="s">
        <v>291</v>
      </c>
    </row>
    <row r="1184" spans="1:2" x14ac:dyDescent="0.25">
      <c r="A1184" t="s">
        <v>433</v>
      </c>
    </row>
    <row r="1186" spans="1:2" x14ac:dyDescent="0.25">
      <c r="A1186" t="s">
        <v>312</v>
      </c>
      <c r="B1186" t="s">
        <v>313</v>
      </c>
    </row>
    <row r="1187" spans="1:2" x14ac:dyDescent="0.25">
      <c r="A1187" t="s">
        <v>310</v>
      </c>
      <c r="B1187" t="str">
        <f>"=House to Non full time service Director"</f>
        <v>=House to Non full time service Director</v>
      </c>
    </row>
    <row r="1188" spans="1:2" x14ac:dyDescent="0.25">
      <c r="A1188" t="s">
        <v>434</v>
      </c>
    </row>
    <row r="1190" spans="1:2" x14ac:dyDescent="0.25">
      <c r="A1190" t="s">
        <v>313</v>
      </c>
      <c r="B1190" t="s">
        <v>315</v>
      </c>
    </row>
    <row r="1191" spans="1:2" x14ac:dyDescent="0.25">
      <c r="A1191" t="str">
        <f>"=House to Non full time service Director"</f>
        <v>=House to Non full time service Director</v>
      </c>
      <c r="B1191" t="s">
        <v>291</v>
      </c>
    </row>
    <row r="1192" spans="1:2" x14ac:dyDescent="0.25">
      <c r="A1192" t="s">
        <v>320</v>
      </c>
    </row>
    <row r="1194" spans="1:2" x14ac:dyDescent="0.25">
      <c r="A1194" t="s">
        <v>313</v>
      </c>
      <c r="B1194" t="s">
        <v>317</v>
      </c>
    </row>
    <row r="1195" spans="1:2" x14ac:dyDescent="0.25">
      <c r="A1195" t="str">
        <f>"=House to Non full time service Director"</f>
        <v>=House to Non full time service Director</v>
      </c>
      <c r="B1195" t="s">
        <v>291</v>
      </c>
    </row>
    <row r="1196" spans="1:2" x14ac:dyDescent="0.25">
      <c r="A1196" t="s">
        <v>321</v>
      </c>
    </row>
    <row r="1198" spans="1:2" x14ac:dyDescent="0.25">
      <c r="A1198" t="s">
        <v>313</v>
      </c>
      <c r="B1198" t="s">
        <v>315</v>
      </c>
    </row>
    <row r="1199" spans="1:2" x14ac:dyDescent="0.25">
      <c r="A1199" t="s">
        <v>323</v>
      </c>
      <c r="B1199" t="s">
        <v>310</v>
      </c>
    </row>
    <row r="1200" spans="1:2" x14ac:dyDescent="0.25">
      <c r="A1200" t="s">
        <v>322</v>
      </c>
    </row>
    <row r="1202" spans="1:2" x14ac:dyDescent="0.25">
      <c r="A1202" t="s">
        <v>313</v>
      </c>
      <c r="B1202" t="s">
        <v>317</v>
      </c>
    </row>
    <row r="1203" spans="1:2" x14ac:dyDescent="0.25">
      <c r="A1203" t="s">
        <v>323</v>
      </c>
      <c r="B1203" t="s">
        <v>310</v>
      </c>
    </row>
    <row r="1204" spans="1:2" x14ac:dyDescent="0.25">
      <c r="A1204" t="s">
        <v>324</v>
      </c>
    </row>
    <row r="1206" spans="1:2" x14ac:dyDescent="0.25">
      <c r="A1206" t="s">
        <v>312</v>
      </c>
      <c r="B1206" t="s">
        <v>313</v>
      </c>
    </row>
    <row r="1207" spans="1:2" x14ac:dyDescent="0.25">
      <c r="A1207" t="s">
        <v>291</v>
      </c>
      <c r="B1207" t="s">
        <v>323</v>
      </c>
    </row>
    <row r="1208" spans="1:2" x14ac:dyDescent="0.25">
      <c r="A1208" t="s">
        <v>435</v>
      </c>
    </row>
    <row r="1210" spans="1:2" x14ac:dyDescent="0.25">
      <c r="A1210" t="s">
        <v>313</v>
      </c>
      <c r="B1210" t="s">
        <v>315</v>
      </c>
    </row>
    <row r="1211" spans="1:2" x14ac:dyDescent="0.25">
      <c r="A1211" t="s">
        <v>436</v>
      </c>
      <c r="B1211" t="s">
        <v>310</v>
      </c>
    </row>
    <row r="1212" spans="1:2" x14ac:dyDescent="0.25">
      <c r="A1212" t="s">
        <v>326</v>
      </c>
    </row>
    <row r="1214" spans="1:2" x14ac:dyDescent="0.25">
      <c r="A1214" t="s">
        <v>313</v>
      </c>
      <c r="B1214" t="s">
        <v>317</v>
      </c>
    </row>
    <row r="1215" spans="1:2" x14ac:dyDescent="0.25">
      <c r="A1215" t="s">
        <v>436</v>
      </c>
      <c r="B1215" t="s">
        <v>310</v>
      </c>
    </row>
    <row r="1216" spans="1:2" x14ac:dyDescent="0.25">
      <c r="A1216" t="s">
        <v>327</v>
      </c>
    </row>
    <row r="1218" spans="1:2" x14ac:dyDescent="0.25">
      <c r="A1218" t="s">
        <v>312</v>
      </c>
      <c r="B1218" t="s">
        <v>313</v>
      </c>
    </row>
    <row r="1219" spans="1:2" x14ac:dyDescent="0.25">
      <c r="A1219" t="s">
        <v>291</v>
      </c>
      <c r="B1219" t="s">
        <v>436</v>
      </c>
    </row>
    <row r="1220" spans="1:2" x14ac:dyDescent="0.25">
      <c r="A1220" t="s">
        <v>437</v>
      </c>
    </row>
    <row r="1222" spans="1:2" x14ac:dyDescent="0.25">
      <c r="A1222" t="s">
        <v>312</v>
      </c>
      <c r="B1222" t="s">
        <v>313</v>
      </c>
    </row>
    <row r="1223" spans="1:2" x14ac:dyDescent="0.25">
      <c r="A1223" t="s">
        <v>291</v>
      </c>
      <c r="B1223" t="str">
        <f>"=Agriculture Farm"</f>
        <v>=Agriculture Farm</v>
      </c>
    </row>
    <row r="1224" spans="1:2" x14ac:dyDescent="0.25">
      <c r="A1224" t="s">
        <v>438</v>
      </c>
    </row>
    <row r="1226" spans="1:2" x14ac:dyDescent="0.25">
      <c r="A1226" t="s">
        <v>365</v>
      </c>
    </row>
    <row r="1227" spans="1:2" x14ac:dyDescent="0.25">
      <c r="A1227" t="s">
        <v>310</v>
      </c>
    </row>
    <row r="1228" spans="1:2" x14ac:dyDescent="0.25">
      <c r="A1228" t="s">
        <v>366</v>
      </c>
    </row>
    <row r="1230" spans="1:2" x14ac:dyDescent="0.25">
      <c r="A1230" t="s">
        <v>313</v>
      </c>
      <c r="B1230" t="s">
        <v>315</v>
      </c>
    </row>
    <row r="1231" spans="1:2" x14ac:dyDescent="0.25">
      <c r="A1231" t="str">
        <f>"=Agriculture Farm"</f>
        <v>=Agriculture Farm</v>
      </c>
      <c r="B1231" t="s">
        <v>291</v>
      </c>
    </row>
    <row r="1232" spans="1:2" x14ac:dyDescent="0.25">
      <c r="A1232" t="s">
        <v>330</v>
      </c>
    </row>
    <row r="1234" spans="1:2" x14ac:dyDescent="0.25">
      <c r="A1234" t="s">
        <v>313</v>
      </c>
      <c r="B1234" t="s">
        <v>317</v>
      </c>
    </row>
    <row r="1235" spans="1:2" x14ac:dyDescent="0.25">
      <c r="A1235" t="str">
        <f>"=Agriculture Farm"</f>
        <v>=Agriculture Farm</v>
      </c>
      <c r="B1235" t="s">
        <v>291</v>
      </c>
    </row>
    <row r="1236" spans="1:2" x14ac:dyDescent="0.25">
      <c r="A1236" t="s">
        <v>331</v>
      </c>
    </row>
    <row r="1238" spans="1:2" x14ac:dyDescent="0.25">
      <c r="A1238" t="s">
        <v>313</v>
      </c>
      <c r="B1238" t="s">
        <v>439</v>
      </c>
    </row>
    <row r="1239" spans="1:2" x14ac:dyDescent="0.25">
      <c r="A1239" t="str">
        <f>"=Agriculture Farm"</f>
        <v>=Agriculture Farm</v>
      </c>
      <c r="B1239" t="s">
        <v>291</v>
      </c>
    </row>
    <row r="1240" spans="1:2" x14ac:dyDescent="0.25">
      <c r="A1240" t="s">
        <v>364</v>
      </c>
    </row>
    <row r="1242" spans="1:2" x14ac:dyDescent="0.25">
      <c r="A1242" t="s">
        <v>296</v>
      </c>
    </row>
    <row r="1243" spans="1:2" x14ac:dyDescent="0.25">
      <c r="A1243" t="s">
        <v>291</v>
      </c>
    </row>
    <row r="1244" spans="1:2" x14ac:dyDescent="0.25">
      <c r="A1244" t="s">
        <v>440</v>
      </c>
    </row>
    <row r="1246" spans="1:2" x14ac:dyDescent="0.25">
      <c r="A1246" t="s">
        <v>298</v>
      </c>
    </row>
    <row r="1247" spans="1:2" x14ac:dyDescent="0.25">
      <c r="A1247" t="s">
        <v>291</v>
      </c>
    </row>
    <row r="1248" spans="1:2" x14ac:dyDescent="0.25">
      <c r="A1248" t="s">
        <v>441</v>
      </c>
    </row>
    <row r="1250" spans="1:1" x14ac:dyDescent="0.25">
      <c r="A1250" t="s">
        <v>300</v>
      </c>
    </row>
    <row r="1251" spans="1:1" x14ac:dyDescent="0.25">
      <c r="A1251" t="s">
        <v>291</v>
      </c>
    </row>
    <row r="1252" spans="1:1" x14ac:dyDescent="0.25">
      <c r="A1252" t="s">
        <v>301</v>
      </c>
    </row>
    <row r="1254" spans="1:1" x14ac:dyDescent="0.25">
      <c r="A1254" t="s">
        <v>302</v>
      </c>
    </row>
    <row r="1255" spans="1:1" x14ac:dyDescent="0.25">
      <c r="A1255" t="s">
        <v>291</v>
      </c>
    </row>
    <row r="1256" spans="1:1" x14ac:dyDescent="0.25">
      <c r="A1256" t="s">
        <v>303</v>
      </c>
    </row>
    <row r="1258" spans="1:1" x14ac:dyDescent="0.25">
      <c r="A1258" t="s">
        <v>304</v>
      </c>
    </row>
    <row r="1259" spans="1:1" x14ac:dyDescent="0.25">
      <c r="A1259" t="s">
        <v>291</v>
      </c>
    </row>
    <row r="1260" spans="1:1" x14ac:dyDescent="0.25">
      <c r="A1260" t="s">
        <v>442</v>
      </c>
    </row>
    <row r="1262" spans="1:1" x14ac:dyDescent="0.25">
      <c r="A1262" t="s">
        <v>209</v>
      </c>
    </row>
    <row r="1263" spans="1:1" x14ac:dyDescent="0.25">
      <c r="A1263" t="s">
        <v>291</v>
      </c>
    </row>
    <row r="1264" spans="1:1" x14ac:dyDescent="0.25">
      <c r="A1264" t="s">
        <v>360</v>
      </c>
    </row>
    <row r="1266" spans="1:1" x14ac:dyDescent="0.25">
      <c r="A1266" t="s">
        <v>241</v>
      </c>
    </row>
    <row r="1267" spans="1:1" x14ac:dyDescent="0.25">
      <c r="A1267" t="s">
        <v>291</v>
      </c>
    </row>
    <row r="1268" spans="1:1" x14ac:dyDescent="0.25">
      <c r="A1268" t="s">
        <v>456</v>
      </c>
    </row>
    <row r="1270" spans="1:1" x14ac:dyDescent="0.25">
      <c r="A1270" t="s">
        <v>336</v>
      </c>
    </row>
    <row r="1271" spans="1:1" x14ac:dyDescent="0.25">
      <c r="A1271" t="s">
        <v>291</v>
      </c>
    </row>
    <row r="1272" spans="1:1" x14ac:dyDescent="0.25">
      <c r="A1272" t="s">
        <v>362</v>
      </c>
    </row>
    <row r="1274" spans="1:1" x14ac:dyDescent="0.25">
      <c r="A1274" t="s">
        <v>246</v>
      </c>
    </row>
    <row r="1275" spans="1:1" x14ac:dyDescent="0.25">
      <c r="A1275" t="s">
        <v>291</v>
      </c>
    </row>
    <row r="1276" spans="1:1" x14ac:dyDescent="0.25">
      <c r="A1276" t="s">
        <v>363</v>
      </c>
    </row>
    <row r="1278" spans="1:1" x14ac:dyDescent="0.25">
      <c r="A1278" t="s">
        <v>135</v>
      </c>
    </row>
    <row r="1279" spans="1:1" x14ac:dyDescent="0.25">
      <c r="A1279" t="s">
        <v>291</v>
      </c>
    </row>
    <row r="1280" spans="1:1" x14ac:dyDescent="0.25">
      <c r="A1280" t="s">
        <v>457</v>
      </c>
    </row>
    <row r="1282" spans="1:4" x14ac:dyDescent="0.25">
      <c r="A1282" t="s">
        <v>132</v>
      </c>
    </row>
    <row r="1283" spans="1:4" x14ac:dyDescent="0.25">
      <c r="A1283" t="s">
        <v>310</v>
      </c>
    </row>
    <row r="1284" spans="1:4" x14ac:dyDescent="0.25">
      <c r="A1284" s="118" t="s">
        <v>1097</v>
      </c>
    </row>
    <row r="1286" spans="1:4" x14ac:dyDescent="0.25">
      <c r="A1286" t="s">
        <v>282</v>
      </c>
      <c r="B1286" t="s">
        <v>286</v>
      </c>
      <c r="C1286" t="s">
        <v>332</v>
      </c>
    </row>
    <row r="1287" spans="1:4" x14ac:dyDescent="0.25">
      <c r="A1287" t="str">
        <f>"=Resident"</f>
        <v>=Resident</v>
      </c>
      <c r="B1287" t="str">
        <f>"=Primary Employee"</f>
        <v>=Primary Employee</v>
      </c>
      <c r="C1287" t="s">
        <v>310</v>
      </c>
    </row>
    <row r="1288" spans="1:4" x14ac:dyDescent="0.25">
      <c r="A1288" t="s">
        <v>367</v>
      </c>
    </row>
    <row r="1290" spans="1:4" x14ac:dyDescent="0.25">
      <c r="A1290" t="s">
        <v>282</v>
      </c>
      <c r="B1290" t="s">
        <v>286</v>
      </c>
      <c r="C1290" t="s">
        <v>206</v>
      </c>
    </row>
    <row r="1291" spans="1:4" x14ac:dyDescent="0.25">
      <c r="A1291" t="str">
        <f>"=Resident"</f>
        <v>=Resident</v>
      </c>
      <c r="B1291" t="str">
        <f>"=Primary Employee"</f>
        <v>=Primary Employee</v>
      </c>
      <c r="C1291" t="s">
        <v>310</v>
      </c>
    </row>
    <row r="1292" spans="1:4" x14ac:dyDescent="0.25">
      <c r="A1292" t="s">
        <v>334</v>
      </c>
    </row>
    <row r="1294" spans="1:4" x14ac:dyDescent="0.25">
      <c r="A1294" t="s">
        <v>282</v>
      </c>
      <c r="B1294" t="s">
        <v>286</v>
      </c>
      <c r="C1294" t="s">
        <v>428</v>
      </c>
      <c r="D1294" t="s">
        <v>335</v>
      </c>
    </row>
    <row r="1295" spans="1:4" x14ac:dyDescent="0.25">
      <c r="A1295" t="str">
        <f>"=Resident"</f>
        <v>=Resident</v>
      </c>
      <c r="B1295" t="str">
        <f>"=Primary Employee"</f>
        <v>=Primary Employee</v>
      </c>
      <c r="C1295" t="str">
        <f>IF(RtnInf.RtnPrdFrom&lt;&gt;"",IF(OR(AND(MID(RtnInf.RtnPrdFrom,7,4)="2024",MID(RtnInf.RtnPrdFrom,4,2)&gt;="03"),MID(RtnInf.RtnPrdFrom,7,4)&gt;"2024"),"","&lt;2021"),"")</f>
        <v/>
      </c>
      <c r="D1295" t="str">
        <f>IF(RtnInf.RtnPrdFrom&lt;&gt;"",IF(MID(RtnInf.RtnPrdFrom,7,4)&lt;"2021","=",IF(OR(AND(MID(RtnInf.RtnPrdFrom,7,4)="2024",MID(RtnInf.RtnPrdFrom,4,2)&gt;="03"),MID(RtnInf.RtnPrdFrom,7,4)&gt;"2024"),"=","&lt;&gt;")),"")</f>
        <v/>
      </c>
    </row>
    <row r="1296" spans="1:4" x14ac:dyDescent="0.25">
      <c r="A1296" t="str">
        <f>IF(RtnInf.RtnPrdFrom&lt;&gt;"",IF(MID(RtnInf.RtnPrdFrom,7,4)&lt;"2021","As 'Residential Status' contains 'Resident' and 'Type' contains 'Primary Employee', 'Deposit on Home Ownership Saving Plan (N)' should contain value in following row(s): ",IF(OR(AND(MID(RtnInf.RtnPrdFrom,7,4)="2024",MID(RtnInf.RtnPrdFrom,4,2)&gt;="03"),MID(RtnInf.RtnPrdFrom,7,4)&gt;"2024"),"As 'Residential Status' contains 'Resident' and 'Type' contains 'Primary Employee', 'Affordable Housing Relief (N)' should contain value in following row(s): ","As 'Residential Status' contains 'Resident' and 'Type' contains 'Primary Employee', 'Deposit on Home Ownership Saving Plan (N)' should be blank in following row(s):")),"")</f>
        <v/>
      </c>
    </row>
    <row r="1298" spans="1:5" x14ac:dyDescent="0.25">
      <c r="A1298" t="s">
        <v>282</v>
      </c>
      <c r="B1298" t="s">
        <v>286</v>
      </c>
      <c r="C1298" t="s">
        <v>133</v>
      </c>
    </row>
    <row r="1299" spans="1:5" x14ac:dyDescent="0.25">
      <c r="A1299" t="str">
        <f>"=Resident"</f>
        <v>=Resident</v>
      </c>
      <c r="B1299" t="str">
        <f>"=Primary Employee"</f>
        <v>=Primary Employee</v>
      </c>
      <c r="C1299" t="s">
        <v>310</v>
      </c>
    </row>
    <row r="1300" spans="1:5" x14ac:dyDescent="0.25">
      <c r="A1300" t="s">
        <v>368</v>
      </c>
    </row>
    <row r="1302" spans="1:5" x14ac:dyDescent="0.25">
      <c r="A1302" t="s">
        <v>313</v>
      </c>
      <c r="B1302" t="s">
        <v>313</v>
      </c>
      <c r="C1302" t="s">
        <v>313</v>
      </c>
      <c r="D1302" t="s">
        <v>313</v>
      </c>
      <c r="E1302" t="s">
        <v>313</v>
      </c>
    </row>
    <row r="1303" spans="1:5" x14ac:dyDescent="0.25">
      <c r="A1303" t="s">
        <v>943</v>
      </c>
      <c r="B1303" t="s">
        <v>944</v>
      </c>
      <c r="C1303" t="s">
        <v>945</v>
      </c>
      <c r="D1303" t="s">
        <v>946</v>
      </c>
      <c r="E1303" t="s">
        <v>947</v>
      </c>
    </row>
    <row r="1304" spans="1:5" x14ac:dyDescent="0.25">
      <c r="A1304" t="s">
        <v>948</v>
      </c>
    </row>
    <row r="1306" spans="1:5" x14ac:dyDescent="0.25">
      <c r="A1306" t="s">
        <v>282</v>
      </c>
      <c r="B1306" t="s">
        <v>286</v>
      </c>
      <c r="C1306" t="s">
        <v>332</v>
      </c>
    </row>
    <row r="1307" spans="1:5" x14ac:dyDescent="0.25">
      <c r="A1307" t="str">
        <f>"=Non-Resident"</f>
        <v>=Non-Resident</v>
      </c>
      <c r="B1307" t="str">
        <f>"=Primary Employee"</f>
        <v>=Primary Employee</v>
      </c>
      <c r="C1307" t="s">
        <v>291</v>
      </c>
    </row>
    <row r="1308" spans="1:5" x14ac:dyDescent="0.25">
      <c r="A1308" t="s">
        <v>1048</v>
      </c>
    </row>
    <row r="1310" spans="1:5" x14ac:dyDescent="0.25">
      <c r="A1310" t="s">
        <v>282</v>
      </c>
      <c r="B1310" t="s">
        <v>286</v>
      </c>
      <c r="C1310" t="s">
        <v>206</v>
      </c>
    </row>
    <row r="1311" spans="1:5" x14ac:dyDescent="0.25">
      <c r="A1311" t="str">
        <f>"=Non-Resident"</f>
        <v>=Non-Resident</v>
      </c>
      <c r="B1311" t="str">
        <f>"=Primary Employee"</f>
        <v>=Primary Employee</v>
      </c>
      <c r="C1311" t="s">
        <v>310</v>
      </c>
    </row>
    <row r="1312" spans="1:5" x14ac:dyDescent="0.25">
      <c r="A1312" t="s">
        <v>1049</v>
      </c>
    </row>
    <row r="1314" spans="1:3" x14ac:dyDescent="0.25">
      <c r="A1314" t="s">
        <v>282</v>
      </c>
      <c r="B1314" t="s">
        <v>286</v>
      </c>
      <c r="C1314" t="s">
        <v>335</v>
      </c>
    </row>
    <row r="1315" spans="1:3" x14ac:dyDescent="0.25">
      <c r="A1315" t="str">
        <f>"=Non-Resident"</f>
        <v>=Non-Resident</v>
      </c>
      <c r="B1315" t="str">
        <f>"=Primary Employee"</f>
        <v>=Primary Employee</v>
      </c>
      <c r="C1315" t="str">
        <f>IF(RtnInf.RtnPrdFrom&lt;&gt;"",IF(MID(RtnInf.RtnPrdFrom,7,4)&lt;"2021","=",IF(OR(AND(MID(RtnInf.RtnPrdFrom,7,4)="2024",MID(RtnInf.RtnPrdFrom,4,2)&gt;="03"),MID(RtnInf.RtnPrdFrom,7,4)&gt;"2024"),"=","&lt;&gt;")),"")</f>
        <v/>
      </c>
    </row>
    <row r="1316" spans="1:3" x14ac:dyDescent="0.25">
      <c r="A1316" t="str">
        <f>IF(RtnInf.RtnPrdFrom&lt;&gt;"",IF(MID(RtnInf.RtnPrdFrom,7,4)&lt;"2021","As 'Residential Status' contains 'Non-Resident' and 'Type' contains 'Primary Employee', 'Deposit on Home Ownership Saving Plan (N)' should contain value in following row(s): ",IF(OR(AND(MID(RtnInf.RtnPrdFrom,7,4)="2024",MID(RtnInf.RtnPrdFrom,4,2)&gt;="03"),MID(RtnInf.RtnPrdFrom,7,4)&gt;"2024"),"As 'Residential Status' contains 'Non-Resident' and 'Type' contains 'Primary Employee', 'Affordable Housing Relief (N)' should contain value in following row(s): ","As 'Residential Status' contains 'Non-Resident' and 'Type' contains 'Primary Employee', 'Deposit on Home Ownership Saving Plan (N)' should be blank in following row(s):")),"")</f>
        <v/>
      </c>
    </row>
    <row r="1318" spans="1:3" x14ac:dyDescent="0.25">
      <c r="A1318" t="s">
        <v>282</v>
      </c>
      <c r="B1318" t="s">
        <v>286</v>
      </c>
      <c r="C1318" t="s">
        <v>133</v>
      </c>
    </row>
    <row r="1319" spans="1:3" x14ac:dyDescent="0.25">
      <c r="A1319" t="str">
        <f>"=Non-Resident"</f>
        <v>=Non-Resident</v>
      </c>
      <c r="B1319" t="str">
        <f>"=Primary Employee"</f>
        <v>=Primary Employee</v>
      </c>
      <c r="C1319" t="s">
        <v>291</v>
      </c>
    </row>
    <row r="1320" spans="1:3" x14ac:dyDescent="0.25">
      <c r="A1320" t="s">
        <v>1052</v>
      </c>
    </row>
    <row r="1322" spans="1:3" x14ac:dyDescent="0.25">
      <c r="A1322" t="s">
        <v>286</v>
      </c>
      <c r="B1322" t="s">
        <v>332</v>
      </c>
    </row>
    <row r="1323" spans="1:3" x14ac:dyDescent="0.25">
      <c r="A1323" t="str">
        <f>"=Secondary Employee"</f>
        <v>=Secondary Employee</v>
      </c>
      <c r="B1323" t="s">
        <v>291</v>
      </c>
    </row>
    <row r="1324" spans="1:3" x14ac:dyDescent="0.25">
      <c r="A1324" t="s">
        <v>1015</v>
      </c>
    </row>
    <row r="1326" spans="1:3" x14ac:dyDescent="0.25">
      <c r="A1326" t="s">
        <v>286</v>
      </c>
      <c r="B1326" t="s">
        <v>206</v>
      </c>
    </row>
    <row r="1327" spans="1:3" x14ac:dyDescent="0.25">
      <c r="A1327" t="str">
        <f>"=Secondary Employee"</f>
        <v>=Secondary Employee</v>
      </c>
      <c r="B1327" t="s">
        <v>291</v>
      </c>
    </row>
    <row r="1328" spans="1:3" x14ac:dyDescent="0.25">
      <c r="A1328" t="s">
        <v>1016</v>
      </c>
    </row>
    <row r="1330" spans="1:2" x14ac:dyDescent="0.25">
      <c r="A1330" t="s">
        <v>286</v>
      </c>
      <c r="B1330" t="s">
        <v>335</v>
      </c>
    </row>
    <row r="1331" spans="1:2" x14ac:dyDescent="0.25">
      <c r="A1331" t="str">
        <f>"=Secondary Employee"</f>
        <v>=Secondary Employee</v>
      </c>
      <c r="B1331" t="str">
        <f>IF(RtnInf.RtnPrdFrom&lt;&gt;"",IF(OR(AND(MID(RtnInf.RtnPrdFrom,7,4)="2024",MID(RtnInf.RtnPrdFrom,4,2)&gt;="03"),MID(RtnInf.RtnPrdFrom,7,4)&gt;"2024"),"=","&lt;&gt;"),"")</f>
        <v/>
      </c>
    </row>
    <row r="1332" spans="1:2" x14ac:dyDescent="0.25">
      <c r="A1332" t="str">
        <f>IF(RtnInf.RtnPrdFrom&lt;&gt;"",IF(OR(AND(MID(RtnInf.RtnPrdFrom,7,4)="2024",MID(RtnInf.RtnPrdFrom,4,2)&gt;="03"),MID(RtnInf.RtnPrdFrom,7,4)&gt;"2024"),"As 'Type' contains 'Secondary Employee', 'Affordable Housing Relief (N)' should be blank in following row(s): ","As 'Type' contains 'Secondary Employee', 'Deposit on Home Ownership Saving Plan (N)' should be blank in following row(s): "),"")</f>
        <v/>
      </c>
    </row>
    <row r="1334" spans="1:2" x14ac:dyDescent="0.25">
      <c r="A1334" t="s">
        <v>286</v>
      </c>
      <c r="B1334" t="s">
        <v>133</v>
      </c>
    </row>
    <row r="1335" spans="1:2" x14ac:dyDescent="0.25">
      <c r="A1335" t="str">
        <f>"=Secondary Employee"</f>
        <v>=Secondary Employee</v>
      </c>
      <c r="B1335" t="s">
        <v>291</v>
      </c>
    </row>
    <row r="1336" spans="1:2" x14ac:dyDescent="0.25">
      <c r="A1336" t="s">
        <v>1024</v>
      </c>
    </row>
    <row r="1338" spans="1:2" x14ac:dyDescent="0.25">
      <c r="A1338" t="s">
        <v>282</v>
      </c>
      <c r="B1338" t="s">
        <v>212</v>
      </c>
    </row>
    <row r="1339" spans="1:2" x14ac:dyDescent="0.25">
      <c r="A1339" t="str">
        <f>"=Resident"</f>
        <v>=Resident</v>
      </c>
      <c r="B1339" t="s">
        <v>310</v>
      </c>
    </row>
    <row r="1340" spans="1:2" x14ac:dyDescent="0.25">
      <c r="A1340" t="s">
        <v>1042</v>
      </c>
    </row>
    <row r="1342" spans="1:2" x14ac:dyDescent="0.25">
      <c r="A1342" t="s">
        <v>282</v>
      </c>
      <c r="B1342" t="s">
        <v>212</v>
      </c>
    </row>
    <row r="1343" spans="1:2" x14ac:dyDescent="0.25">
      <c r="A1343" t="str">
        <f>"=Non-Resident"</f>
        <v>=Non-Resident</v>
      </c>
      <c r="B1343" t="s">
        <v>291</v>
      </c>
    </row>
    <row r="1344" spans="1:2" x14ac:dyDescent="0.25">
      <c r="A1344" t="s">
        <v>1053</v>
      </c>
    </row>
    <row r="1346" spans="1:1" x14ac:dyDescent="0.25">
      <c r="A1346" t="s">
        <v>1061</v>
      </c>
    </row>
    <row r="1347" spans="1:1" x14ac:dyDescent="0.25">
      <c r="A1347" t="s">
        <v>310</v>
      </c>
    </row>
    <row r="1348" spans="1:1" x14ac:dyDescent="0.25">
      <c r="A1348" t="s">
        <v>1062</v>
      </c>
    </row>
    <row r="1350" spans="1:1" x14ac:dyDescent="0.25">
      <c r="A1350" t="s">
        <v>339</v>
      </c>
    </row>
    <row r="1351" spans="1:1" x14ac:dyDescent="0.25">
      <c r="A1351" t="str">
        <f>"=???????????????????????????????????????????????????*"</f>
        <v>=???????????????????????????????????????????????????*</v>
      </c>
    </row>
    <row r="1352" spans="1:1" x14ac:dyDescent="0.25">
      <c r="A1352" t="s">
        <v>1078</v>
      </c>
    </row>
    <row r="1354" spans="1:1" x14ac:dyDescent="0.25">
      <c r="A1354" t="s">
        <v>365</v>
      </c>
    </row>
    <row r="1355" spans="1:1" x14ac:dyDescent="0.25">
      <c r="A1355" t="str">
        <f>"=?????????????????????*"</f>
        <v>=?????????????????????*</v>
      </c>
    </row>
    <row r="1356" spans="1:1" x14ac:dyDescent="0.25">
      <c r="A1356" s="118" t="s">
        <v>1083</v>
      </c>
    </row>
    <row r="1358" spans="1:1" x14ac:dyDescent="0.25">
      <c r="A1358" t="s">
        <v>132</v>
      </c>
    </row>
    <row r="1359" spans="1:1" ht="14.25" customHeight="1" x14ac:dyDescent="0.25">
      <c r="A1359" t="s">
        <v>996</v>
      </c>
    </row>
    <row r="1360" spans="1:1" x14ac:dyDescent="0.25">
      <c r="A1360" s="118" t="s">
        <v>1098</v>
      </c>
    </row>
    <row r="1361" spans="1:41" x14ac:dyDescent="0.25">
      <c r="A1361" s="118"/>
    </row>
    <row r="1362" spans="1:41" x14ac:dyDescent="0.25">
      <c r="A1362" s="118" t="s">
        <v>428</v>
      </c>
      <c r="B1362" t="s">
        <v>335</v>
      </c>
    </row>
    <row r="1363" spans="1:41" x14ac:dyDescent="0.25">
      <c r="A1363" s="118" t="str">
        <f>IF(RtnInf.RtnPrdFrom&lt;&gt;"",IF(OR(AND(MID(RtnInf.RtnPrdFrom,7,4)="2024",MID(RtnInf.RtnPrdFrom,4,2)&gt;="03"),MID(RtnInf.RtnPrdFrom,7,4)&gt;"2024"),"","&gt;=2021"),"")</f>
        <v/>
      </c>
      <c r="B1363" t="str">
        <f>IF(RtnInf.RtnPrdFrom&lt;&gt;"",IF(OR(AND(MID(RtnInf.RtnPrdFrom,7,4)="2024",MID(RtnInf.RtnPrdFrom,4,2)&gt;="03"),MID(RtnInf.RtnPrdFrom,7,4)&gt;"2024"),"=","&lt;&gt;"),"")</f>
        <v/>
      </c>
    </row>
    <row r="1364" spans="1:41" x14ac:dyDescent="0.25">
      <c r="A1364" s="118" t="str">
        <f>IF(RtnInf.RtnPrdFrom&lt;&gt;"",IF(OR(AND(MID(RtnInf.RtnPrdFrom,7,4)="2024",MID(RtnInf.RtnPrdFrom,4,2)&gt;="03"),MID(RtnInf.RtnPrdFrom,7,4)&gt;"2024"),"'As 'Year' is greater than or equal to 2024 March, 'Affordable Housing Relief (N)' should contain value in following row(s): ","'As 'Year' is greater than or equal to 2021, 'Deposit on Home Ownership Saving Plan (N)' should be blank in following row(s): "),"")</f>
        <v/>
      </c>
    </row>
    <row r="1366" spans="1:41" x14ac:dyDescent="0.25">
      <c r="A1366" t="s">
        <v>406</v>
      </c>
      <c r="B1366" t="s">
        <v>339</v>
      </c>
      <c r="C1366" t="s">
        <v>101</v>
      </c>
      <c r="D1366" t="s">
        <v>428</v>
      </c>
      <c r="E1366" t="s">
        <v>282</v>
      </c>
      <c r="F1366" t="s">
        <v>286</v>
      </c>
      <c r="G1366" t="s">
        <v>365</v>
      </c>
      <c r="H1366" t="s">
        <v>444</v>
      </c>
      <c r="I1366" t="s">
        <v>445</v>
      </c>
      <c r="J1366" t="s">
        <v>446</v>
      </c>
      <c r="K1366" t="s">
        <v>447</v>
      </c>
      <c r="L1366" t="s">
        <v>448</v>
      </c>
      <c r="M1366" t="s">
        <v>449</v>
      </c>
      <c r="N1366" t="s">
        <v>450</v>
      </c>
      <c r="O1366" t="s">
        <v>451</v>
      </c>
      <c r="P1366" t="s">
        <v>290</v>
      </c>
      <c r="Q1366" t="s">
        <v>1061</v>
      </c>
      <c r="R1366" t="s">
        <v>125</v>
      </c>
      <c r="S1366" t="s">
        <v>203</v>
      </c>
      <c r="T1366" t="s">
        <v>312</v>
      </c>
      <c r="U1366" t="s">
        <v>313</v>
      </c>
      <c r="V1366" t="s">
        <v>315</v>
      </c>
      <c r="W1366" t="s">
        <v>294</v>
      </c>
      <c r="X1366" t="s">
        <v>317</v>
      </c>
      <c r="Y1366" t="s">
        <v>296</v>
      </c>
      <c r="Z1366" t="s">
        <v>298</v>
      </c>
      <c r="AA1366" t="s">
        <v>300</v>
      </c>
      <c r="AB1366" t="s">
        <v>332</v>
      </c>
      <c r="AC1366" t="s">
        <v>302</v>
      </c>
      <c r="AD1366" t="s">
        <v>206</v>
      </c>
      <c r="AE1366" t="s">
        <v>335</v>
      </c>
      <c r="AF1366" t="s">
        <v>304</v>
      </c>
      <c r="AG1366" t="s">
        <v>209</v>
      </c>
      <c r="AH1366" t="s">
        <v>241</v>
      </c>
      <c r="AI1366" t="s">
        <v>336</v>
      </c>
      <c r="AJ1366" t="s">
        <v>133</v>
      </c>
      <c r="AK1366" t="s">
        <v>212</v>
      </c>
      <c r="AL1366" t="s">
        <v>246</v>
      </c>
      <c r="AM1366" t="s">
        <v>215</v>
      </c>
      <c r="AN1366" t="s">
        <v>135</v>
      </c>
      <c r="AO1366" t="s">
        <v>132</v>
      </c>
    </row>
    <row r="1385" spans="1:4" x14ac:dyDescent="0.25">
      <c r="A1385" t="s">
        <v>458</v>
      </c>
    </row>
    <row r="1386" spans="1:4" x14ac:dyDescent="0.25">
      <c r="A1386" t="s">
        <v>195</v>
      </c>
      <c r="B1386" t="s">
        <v>196</v>
      </c>
      <c r="C1386" t="s">
        <v>197</v>
      </c>
      <c r="D1386" t="s">
        <v>198</v>
      </c>
    </row>
    <row r="1387" spans="1:4" x14ac:dyDescent="0.25">
      <c r="A1387" t="s">
        <v>199</v>
      </c>
      <c r="B1387">
        <v>1401</v>
      </c>
      <c r="C1387" t="s">
        <v>459</v>
      </c>
      <c r="D1387" t="s">
        <v>317</v>
      </c>
    </row>
    <row r="1388" spans="1:4" x14ac:dyDescent="0.25">
      <c r="A1388" t="s">
        <v>201</v>
      </c>
      <c r="B1388">
        <v>1405</v>
      </c>
      <c r="C1388" t="s">
        <v>460</v>
      </c>
      <c r="D1388" t="s">
        <v>296</v>
      </c>
    </row>
    <row r="1389" spans="1:4" x14ac:dyDescent="0.25">
      <c r="A1389" t="s">
        <v>204</v>
      </c>
      <c r="B1389">
        <v>1409</v>
      </c>
      <c r="C1389" t="s">
        <v>205</v>
      </c>
      <c r="D1389" t="s">
        <v>312</v>
      </c>
    </row>
    <row r="1390" spans="1:4" x14ac:dyDescent="0.25">
      <c r="A1390" t="s">
        <v>207</v>
      </c>
      <c r="B1390">
        <v>1414</v>
      </c>
      <c r="C1390" t="s">
        <v>999</v>
      </c>
      <c r="D1390" t="s">
        <v>294</v>
      </c>
    </row>
    <row r="1391" spans="1:4" x14ac:dyDescent="0.25">
      <c r="A1391" t="s">
        <v>210</v>
      </c>
      <c r="B1391">
        <v>1419</v>
      </c>
      <c r="C1391" t="s">
        <v>1000</v>
      </c>
      <c r="D1391" t="s">
        <v>296</v>
      </c>
    </row>
    <row r="1392" spans="1:4" x14ac:dyDescent="0.25">
      <c r="A1392" t="s">
        <v>213</v>
      </c>
      <c r="B1392">
        <v>1423</v>
      </c>
      <c r="C1392" t="s">
        <v>1077</v>
      </c>
      <c r="D1392" t="s">
        <v>348</v>
      </c>
    </row>
    <row r="1393" spans="1:4" x14ac:dyDescent="0.25">
      <c r="A1393" t="s">
        <v>216</v>
      </c>
      <c r="B1393">
        <v>1427</v>
      </c>
      <c r="C1393" t="s">
        <v>1090</v>
      </c>
      <c r="D1393" t="s">
        <v>125</v>
      </c>
    </row>
    <row r="1400" spans="1:4" x14ac:dyDescent="0.25">
      <c r="A1400" t="s">
        <v>125</v>
      </c>
    </row>
    <row r="1401" spans="1:4" x14ac:dyDescent="0.25">
      <c r="A1401" t="s">
        <v>291</v>
      </c>
    </row>
    <row r="1402" spans="1:4" x14ac:dyDescent="0.25">
      <c r="A1402" t="s">
        <v>461</v>
      </c>
    </row>
    <row r="1404" spans="1:4" x14ac:dyDescent="0.25">
      <c r="A1404" t="s">
        <v>203</v>
      </c>
    </row>
    <row r="1405" spans="1:4" x14ac:dyDescent="0.25">
      <c r="A1405" t="s">
        <v>310</v>
      </c>
    </row>
    <row r="1406" spans="1:4" x14ac:dyDescent="0.25">
      <c r="A1406" t="s">
        <v>462</v>
      </c>
    </row>
    <row r="1408" spans="1:4" x14ac:dyDescent="0.25">
      <c r="A1408" t="s">
        <v>290</v>
      </c>
    </row>
    <row r="1409" spans="1:2" x14ac:dyDescent="0.25">
      <c r="A1409" t="s">
        <v>310</v>
      </c>
    </row>
    <row r="1410" spans="1:2" x14ac:dyDescent="0.25">
      <c r="A1410" t="s">
        <v>463</v>
      </c>
    </row>
    <row r="1412" spans="1:2" x14ac:dyDescent="0.25">
      <c r="A1412" t="s">
        <v>348</v>
      </c>
      <c r="B1412" t="s">
        <v>348</v>
      </c>
    </row>
    <row r="1413" spans="1:2" x14ac:dyDescent="0.25">
      <c r="A1413" t="s">
        <v>996</v>
      </c>
    </row>
    <row r="1414" spans="1:2" x14ac:dyDescent="0.25">
      <c r="B1414" t="s">
        <v>997</v>
      </c>
    </row>
    <row r="1415" spans="1:2" x14ac:dyDescent="0.25">
      <c r="A1415" t="s">
        <v>1001</v>
      </c>
    </row>
    <row r="1417" spans="1:2" x14ac:dyDescent="0.25">
      <c r="A1417" t="s">
        <v>203</v>
      </c>
      <c r="B1417" t="s">
        <v>203</v>
      </c>
    </row>
    <row r="1418" spans="1:2" x14ac:dyDescent="0.25">
      <c r="A1418" t="s">
        <v>996</v>
      </c>
    </row>
    <row r="1419" spans="1:2" x14ac:dyDescent="0.25">
      <c r="B1419" t="s">
        <v>997</v>
      </c>
    </row>
    <row r="1420" spans="1:2" x14ac:dyDescent="0.25">
      <c r="A1420" t="s">
        <v>998</v>
      </c>
    </row>
    <row r="1422" spans="1:2" x14ac:dyDescent="0.25">
      <c r="A1422" t="s">
        <v>339</v>
      </c>
    </row>
    <row r="1423" spans="1:2" x14ac:dyDescent="0.25">
      <c r="A1423" t="str">
        <f>"=???????????????????????????????????????????????????*"</f>
        <v>=???????????????????????????????????????????????????*</v>
      </c>
    </row>
    <row r="1424" spans="1:2" x14ac:dyDescent="0.25">
      <c r="A1424" t="s">
        <v>1078</v>
      </c>
    </row>
    <row r="1426" spans="1:8" x14ac:dyDescent="0.25">
      <c r="A1426" t="s">
        <v>1088</v>
      </c>
    </row>
    <row r="1427" spans="1:8" x14ac:dyDescent="0.25">
      <c r="A1427" t="str">
        <f>"=?????????????????????*"</f>
        <v>=?????????????????????*</v>
      </c>
    </row>
    <row r="1428" spans="1:8" x14ac:dyDescent="0.25">
      <c r="A1428" s="118" t="s">
        <v>1089</v>
      </c>
    </row>
    <row r="1430" spans="1:8" x14ac:dyDescent="0.25">
      <c r="A1430" t="s">
        <v>406</v>
      </c>
      <c r="B1430" t="s">
        <v>339</v>
      </c>
      <c r="C1430" t="s">
        <v>1088</v>
      </c>
      <c r="D1430" t="s">
        <v>465</v>
      </c>
      <c r="E1430" t="s">
        <v>466</v>
      </c>
      <c r="F1430" t="s">
        <v>348</v>
      </c>
      <c r="G1430" t="s">
        <v>125</v>
      </c>
      <c r="H1430" t="s">
        <v>203</v>
      </c>
    </row>
    <row r="1440" spans="1:8" x14ac:dyDescent="0.25">
      <c r="A1440" t="s">
        <v>1162</v>
      </c>
    </row>
    <row r="1441" spans="1:4" x14ac:dyDescent="0.25">
      <c r="A1441" t="s">
        <v>195</v>
      </c>
      <c r="B1441" t="s">
        <v>196</v>
      </c>
      <c r="C1441" t="s">
        <v>197</v>
      </c>
      <c r="D1441" t="s">
        <v>198</v>
      </c>
    </row>
    <row r="1442" spans="1:4" x14ac:dyDescent="0.25">
      <c r="A1442" t="s">
        <v>199</v>
      </c>
      <c r="B1442">
        <v>1451</v>
      </c>
      <c r="C1442" t="s">
        <v>459</v>
      </c>
      <c r="D1442" t="s">
        <v>290</v>
      </c>
    </row>
    <row r="1443" spans="1:4" x14ac:dyDescent="0.25">
      <c r="A1443" t="s">
        <v>201</v>
      </c>
      <c r="B1443">
        <v>1455</v>
      </c>
      <c r="C1443" t="s">
        <v>460</v>
      </c>
      <c r="D1443" t="s">
        <v>348</v>
      </c>
    </row>
    <row r="1444" spans="1:4" x14ac:dyDescent="0.25">
      <c r="A1444" t="s">
        <v>204</v>
      </c>
      <c r="B1444">
        <v>1459</v>
      </c>
      <c r="C1444" t="s">
        <v>205</v>
      </c>
      <c r="D1444" t="s">
        <v>125</v>
      </c>
    </row>
    <row r="1445" spans="1:4" x14ac:dyDescent="0.25">
      <c r="A1445" t="s">
        <v>207</v>
      </c>
      <c r="B1445">
        <v>1463</v>
      </c>
      <c r="C1445" t="s">
        <v>208</v>
      </c>
      <c r="D1445" t="s">
        <v>203</v>
      </c>
    </row>
    <row r="1446" spans="1:4" x14ac:dyDescent="0.25">
      <c r="A1446" t="s">
        <v>210</v>
      </c>
      <c r="B1446">
        <v>1467</v>
      </c>
      <c r="C1446" t="s">
        <v>211</v>
      </c>
      <c r="D1446" t="s">
        <v>312</v>
      </c>
    </row>
    <row r="1450" spans="1:4" x14ac:dyDescent="0.25">
      <c r="A1450" t="s">
        <v>1163</v>
      </c>
    </row>
    <row r="1451" spans="1:4" x14ac:dyDescent="0.25">
      <c r="A1451" t="str">
        <f>"=&lt;&gt;||="</f>
        <v>=&lt;&gt;||=</v>
      </c>
    </row>
    <row r="1452" spans="1:4" x14ac:dyDescent="0.25">
      <c r="A1452" s="118"/>
    </row>
    <row r="1454" spans="1:4" x14ac:dyDescent="0.25">
      <c r="A1454" t="s">
        <v>1164</v>
      </c>
    </row>
    <row r="1455" spans="1:4" x14ac:dyDescent="0.25">
      <c r="A1455" t="str">
        <f>"=???????????????????????????????????????????????????*"</f>
        <v>=???????????????????????????????????????????????????*</v>
      </c>
    </row>
    <row r="1456" spans="1:4" x14ac:dyDescent="0.25">
      <c r="A1456" s="118" t="s">
        <v>1165</v>
      </c>
    </row>
    <row r="1458" spans="1:5" x14ac:dyDescent="0.25">
      <c r="A1458" t="s">
        <v>1166</v>
      </c>
    </row>
    <row r="1459" spans="1:5" x14ac:dyDescent="0.25">
      <c r="A1459" t="str">
        <f>"&lt;&gt;???????????"</f>
        <v>&lt;&gt;???????????</v>
      </c>
    </row>
    <row r="1460" spans="1:5" x14ac:dyDescent="0.25">
      <c r="A1460" s="118" t="s">
        <v>1167</v>
      </c>
    </row>
    <row r="1462" spans="1:5" x14ac:dyDescent="0.25">
      <c r="A1462" t="s">
        <v>1168</v>
      </c>
    </row>
    <row r="1463" spans="1:5" x14ac:dyDescent="0.25">
      <c r="A1463" t="s">
        <v>310</v>
      </c>
    </row>
    <row r="1464" spans="1:5" x14ac:dyDescent="0.25">
      <c r="A1464" s="118" t="s">
        <v>1169</v>
      </c>
    </row>
    <row r="1466" spans="1:5" x14ac:dyDescent="0.25">
      <c r="A1466" t="s">
        <v>1170</v>
      </c>
    </row>
    <row r="1467" spans="1:5" x14ac:dyDescent="0.25">
      <c r="A1467" t="s">
        <v>291</v>
      </c>
    </row>
    <row r="1468" spans="1:5" x14ac:dyDescent="0.25">
      <c r="A1468" s="118" t="s">
        <v>1259</v>
      </c>
    </row>
    <row r="1470" spans="1:5" x14ac:dyDescent="0.25">
      <c r="A1470" t="s">
        <v>1163</v>
      </c>
      <c r="B1470" t="s">
        <v>1164</v>
      </c>
      <c r="C1470" t="s">
        <v>1166</v>
      </c>
      <c r="D1470" t="s">
        <v>1168</v>
      </c>
      <c r="E1470" t="s">
        <v>1170</v>
      </c>
    </row>
    <row r="1480" spans="1:4" x14ac:dyDescent="0.25">
      <c r="A1480" t="s">
        <v>1228</v>
      </c>
    </row>
    <row r="1481" spans="1:4" x14ac:dyDescent="0.25">
      <c r="A1481" t="s">
        <v>195</v>
      </c>
      <c r="B1481" t="s">
        <v>196</v>
      </c>
      <c r="C1481" t="s">
        <v>197</v>
      </c>
      <c r="D1481" t="s">
        <v>198</v>
      </c>
    </row>
    <row r="1482" spans="1:4" x14ac:dyDescent="0.25">
      <c r="A1482" t="s">
        <v>199</v>
      </c>
      <c r="B1482">
        <v>1490</v>
      </c>
      <c r="C1482" t="s">
        <v>459</v>
      </c>
      <c r="D1482" t="s">
        <v>290</v>
      </c>
    </row>
    <row r="1483" spans="1:4" x14ac:dyDescent="0.25">
      <c r="A1483" t="s">
        <v>201</v>
      </c>
      <c r="B1483">
        <v>1494</v>
      </c>
      <c r="C1483" t="s">
        <v>460</v>
      </c>
      <c r="D1483" t="s">
        <v>348</v>
      </c>
    </row>
    <row r="1484" spans="1:4" x14ac:dyDescent="0.25">
      <c r="A1484" t="s">
        <v>204</v>
      </c>
      <c r="B1484">
        <v>1498</v>
      </c>
      <c r="C1484" t="s">
        <v>205</v>
      </c>
      <c r="D1484" t="s">
        <v>125</v>
      </c>
    </row>
    <row r="1485" spans="1:4" x14ac:dyDescent="0.25">
      <c r="A1485" t="s">
        <v>207</v>
      </c>
      <c r="B1485">
        <v>1502</v>
      </c>
      <c r="C1485" t="s">
        <v>208</v>
      </c>
      <c r="D1485" t="s">
        <v>203</v>
      </c>
    </row>
    <row r="1489" spans="1:1" x14ac:dyDescent="0.25">
      <c r="A1489" t="s">
        <v>1215</v>
      </c>
    </row>
    <row r="1490" spans="1:1" x14ac:dyDescent="0.25">
      <c r="A1490" t="str">
        <f>"=?????????????????????*"</f>
        <v>=?????????????????????*</v>
      </c>
    </row>
    <row r="1491" spans="1:1" x14ac:dyDescent="0.25">
      <c r="A1491" s="118" t="s">
        <v>1254</v>
      </c>
    </row>
    <row r="1493" spans="1:1" x14ac:dyDescent="0.25">
      <c r="A1493" t="s">
        <v>1216</v>
      </c>
    </row>
    <row r="1494" spans="1:1" x14ac:dyDescent="0.25">
      <c r="A1494" t="str">
        <f>"=???????????????????????????????????????????????????*"</f>
        <v>=???????????????????????????????????????????????????*</v>
      </c>
    </row>
    <row r="1495" spans="1:1" x14ac:dyDescent="0.25">
      <c r="A1495" s="118" t="s">
        <v>1229</v>
      </c>
    </row>
    <row r="1497" spans="1:1" x14ac:dyDescent="0.25">
      <c r="A1497" t="s">
        <v>1166</v>
      </c>
    </row>
    <row r="1498" spans="1:1" x14ac:dyDescent="0.25">
      <c r="A1498" t="str">
        <f>"&lt;&gt;???????????"</f>
        <v>&lt;&gt;???????????</v>
      </c>
    </row>
    <row r="1499" spans="1:1" x14ac:dyDescent="0.25">
      <c r="A1499" s="118" t="s">
        <v>1167</v>
      </c>
    </row>
    <row r="1501" spans="1:1" ht="16.5" x14ac:dyDescent="0.25">
      <c r="A1501" s="202" t="s">
        <v>1213</v>
      </c>
    </row>
    <row r="1502" spans="1:1" x14ac:dyDescent="0.25">
      <c r="A1502" t="s">
        <v>310</v>
      </c>
    </row>
    <row r="1503" spans="1:1" x14ac:dyDescent="0.25">
      <c r="A1503" s="118" t="s">
        <v>1230</v>
      </c>
    </row>
    <row r="1505" spans="1:4" ht="16.5" x14ac:dyDescent="0.25">
      <c r="A1505" t="s">
        <v>1215</v>
      </c>
      <c r="B1505" t="s">
        <v>1216</v>
      </c>
      <c r="C1505" t="s">
        <v>1166</v>
      </c>
      <c r="D1505" s="202" t="s">
        <v>1213</v>
      </c>
    </row>
  </sheetData>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EF2E2-0E34-49D9-81A0-CE67F6DF3270}">
  <sheetPr codeName="Sheet4"/>
  <dimension ref="A1:J13"/>
  <sheetViews>
    <sheetView topLeftCell="A11" workbookViewId="0">
      <selection activeCell="B13" sqref="B13"/>
    </sheetView>
  </sheetViews>
  <sheetFormatPr defaultColWidth="9.28515625" defaultRowHeight="16.5" x14ac:dyDescent="0.3"/>
  <cols>
    <col min="1" max="1" width="20" style="28" customWidth="1"/>
    <col min="2" max="2" width="27" style="28" customWidth="1"/>
    <col min="3" max="3" width="11.42578125" style="28" customWidth="1"/>
    <col min="4" max="4" width="11.5703125" style="28" customWidth="1"/>
    <col min="5" max="5" width="34.5703125" style="28" customWidth="1"/>
    <col min="6" max="6" width="35.28515625" style="28" customWidth="1"/>
    <col min="7" max="8" width="26.42578125" style="28" customWidth="1"/>
    <col min="9" max="9" width="9.28515625" style="28"/>
    <col min="10" max="10" width="45.42578125" style="28" customWidth="1"/>
    <col min="11" max="16384" width="9.28515625" style="28"/>
  </cols>
  <sheetData>
    <row r="1" spans="1:10" x14ac:dyDescent="0.3">
      <c r="A1" s="28" t="s">
        <v>468</v>
      </c>
      <c r="B1" s="28" t="s">
        <v>339</v>
      </c>
      <c r="C1" s="28" t="s">
        <v>469</v>
      </c>
      <c r="D1" s="28" t="s">
        <v>470</v>
      </c>
      <c r="E1" s="28" t="s">
        <v>471</v>
      </c>
      <c r="F1" s="28" t="s">
        <v>472</v>
      </c>
      <c r="G1" s="28" t="s">
        <v>473</v>
      </c>
      <c r="H1" s="28" t="s">
        <v>472</v>
      </c>
      <c r="J1" s="28" t="s">
        <v>474</v>
      </c>
    </row>
    <row r="2" spans="1:10" ht="49.5" x14ac:dyDescent="0.3">
      <c r="A2" s="149" t="s">
        <v>475</v>
      </c>
      <c r="B2" s="150" t="s">
        <v>476</v>
      </c>
      <c r="C2" s="151">
        <v>15</v>
      </c>
      <c r="D2" s="151" t="s">
        <v>273</v>
      </c>
      <c r="E2" s="150" t="s">
        <v>477</v>
      </c>
      <c r="F2" s="150" t="str">
        <f t="shared" ref="F2:F7" si="0">CONCATENATE(B2,MsgMandat)</f>
        <v>Employer's Personal Identification Number is Mandatory field.</v>
      </c>
      <c r="G2" s="150" t="s">
        <v>478</v>
      </c>
      <c r="H2" s="150" t="s">
        <v>479</v>
      </c>
      <c r="I2" s="151"/>
      <c r="J2" s="152" t="s">
        <v>480</v>
      </c>
    </row>
    <row r="3" spans="1:10" ht="33" x14ac:dyDescent="0.3">
      <c r="A3" s="153" t="s">
        <v>475</v>
      </c>
      <c r="B3" s="29" t="s">
        <v>481</v>
      </c>
      <c r="C3" s="28">
        <v>25</v>
      </c>
      <c r="D3" s="28" t="s">
        <v>273</v>
      </c>
      <c r="E3" s="29" t="s">
        <v>482</v>
      </c>
      <c r="F3" s="29" t="str">
        <f t="shared" si="0"/>
        <v>Type of Return is Mandatory field.</v>
      </c>
      <c r="G3" s="29"/>
      <c r="H3" s="29"/>
      <c r="J3" s="154" t="s">
        <v>480</v>
      </c>
    </row>
    <row r="4" spans="1:10" ht="33" x14ac:dyDescent="0.3">
      <c r="A4" s="153" t="s">
        <v>475</v>
      </c>
      <c r="B4" s="29" t="s">
        <v>483</v>
      </c>
      <c r="C4" s="28">
        <v>25</v>
      </c>
      <c r="D4" s="28" t="s">
        <v>273</v>
      </c>
      <c r="E4" s="29" t="s">
        <v>484</v>
      </c>
      <c r="F4" s="29" t="str">
        <f t="shared" si="0"/>
        <v>Entity Type is Mandatory field.</v>
      </c>
      <c r="G4" s="29"/>
      <c r="H4" s="29"/>
      <c r="J4" s="154" t="s">
        <v>480</v>
      </c>
    </row>
    <row r="5" spans="1:10" ht="33" x14ac:dyDescent="0.3">
      <c r="A5" s="153" t="s">
        <v>475</v>
      </c>
      <c r="B5" s="29" t="s">
        <v>485</v>
      </c>
      <c r="C5" s="28">
        <v>25</v>
      </c>
      <c r="D5" s="28" t="s">
        <v>273</v>
      </c>
      <c r="E5" s="29" t="s">
        <v>486</v>
      </c>
      <c r="F5" s="29" t="str">
        <f t="shared" si="0"/>
        <v>Return Period From is Mandatory field.</v>
      </c>
      <c r="G5" s="29"/>
      <c r="H5" s="29"/>
      <c r="J5" s="154" t="s">
        <v>480</v>
      </c>
    </row>
    <row r="6" spans="1:10" ht="33" x14ac:dyDescent="0.3">
      <c r="A6" s="155" t="s">
        <v>475</v>
      </c>
      <c r="B6" s="156" t="s">
        <v>487</v>
      </c>
      <c r="C6" s="157">
        <v>4</v>
      </c>
      <c r="D6" s="157" t="s">
        <v>273</v>
      </c>
      <c r="E6" s="156" t="s">
        <v>488</v>
      </c>
      <c r="F6" s="156" t="str">
        <f t="shared" si="0"/>
        <v>Return Period To is Mandatory field.</v>
      </c>
      <c r="G6" s="156"/>
      <c r="H6" s="156"/>
      <c r="I6" s="157"/>
      <c r="J6" s="158" t="s">
        <v>480</v>
      </c>
    </row>
    <row r="7" spans="1:10" ht="49.5" x14ac:dyDescent="0.3">
      <c r="A7" s="28" t="s">
        <v>1171</v>
      </c>
      <c r="B7" s="29" t="s">
        <v>489</v>
      </c>
      <c r="C7" s="28">
        <v>15</v>
      </c>
      <c r="D7" s="28" t="s">
        <v>335</v>
      </c>
      <c r="E7" s="29" t="s">
        <v>490</v>
      </c>
      <c r="F7" s="29" t="str">
        <f t="shared" si="0"/>
        <v>Previous month PAYE Tax is Mandatory field.</v>
      </c>
      <c r="G7" s="29"/>
      <c r="H7" s="29"/>
      <c r="J7" s="28" t="s">
        <v>1172</v>
      </c>
    </row>
    <row r="8" spans="1:10" ht="115.5" x14ac:dyDescent="0.3">
      <c r="A8" s="149" t="s">
        <v>492</v>
      </c>
      <c r="B8" s="151" t="s">
        <v>493</v>
      </c>
      <c r="C8" s="151">
        <v>15</v>
      </c>
      <c r="D8" s="151" t="s">
        <v>273</v>
      </c>
      <c r="E8" s="150" t="s">
        <v>494</v>
      </c>
      <c r="F8" s="150" t="str">
        <f>CONCATENATE(B8,MsgMandat)</f>
        <v>Section K : Details of PAYE Tax paid is Mandatory field.</v>
      </c>
      <c r="G8" s="150" t="s">
        <v>495</v>
      </c>
      <c r="H8" s="150" t="s">
        <v>496</v>
      </c>
      <c r="I8" s="151"/>
      <c r="J8" s="152" t="s">
        <v>493</v>
      </c>
    </row>
    <row r="9" spans="1:10" ht="198" x14ac:dyDescent="0.3">
      <c r="A9" s="153" t="s">
        <v>492</v>
      </c>
      <c r="B9" s="28" t="s">
        <v>493</v>
      </c>
      <c r="C9" s="28">
        <v>15</v>
      </c>
      <c r="D9" s="28" t="s">
        <v>273</v>
      </c>
      <c r="E9" s="28" t="s">
        <v>494</v>
      </c>
      <c r="F9" s="28" t="str">
        <f>CONCATENATE(B9,MsgMandat)</f>
        <v>Section K : Details of PAYE Tax paid is Mandatory field.</v>
      </c>
      <c r="G9" s="29" t="s">
        <v>497</v>
      </c>
      <c r="H9" s="29" t="s">
        <v>498</v>
      </c>
      <c r="J9" s="154" t="s">
        <v>493</v>
      </c>
    </row>
    <row r="10" spans="1:10" ht="165" x14ac:dyDescent="0.3">
      <c r="A10" s="153" t="s">
        <v>492</v>
      </c>
      <c r="B10" s="28" t="s">
        <v>499</v>
      </c>
      <c r="C10" s="28">
        <v>15</v>
      </c>
      <c r="D10" s="28" t="s">
        <v>273</v>
      </c>
      <c r="E10" s="28" t="s">
        <v>494</v>
      </c>
      <c r="F10" s="28" t="str">
        <f>CONCATENATE(B10,MsgMandat)</f>
        <v>Section K2 : Self Assessment Tax is Mandatory field.</v>
      </c>
      <c r="G10" s="29" t="s">
        <v>500</v>
      </c>
      <c r="H10" s="29" t="s">
        <v>501</v>
      </c>
      <c r="J10" s="154" t="s">
        <v>499</v>
      </c>
    </row>
    <row r="11" spans="1:10" ht="148.5" x14ac:dyDescent="0.3">
      <c r="A11" s="155" t="s">
        <v>492</v>
      </c>
      <c r="B11" s="157" t="s">
        <v>502</v>
      </c>
      <c r="C11" s="157">
        <v>15</v>
      </c>
      <c r="D11" s="157" t="s">
        <v>273</v>
      </c>
      <c r="E11" s="157" t="s">
        <v>494</v>
      </c>
      <c r="F11" s="157" t="str">
        <f>CONCATENATE(B11,MsgMandat)</f>
        <v>Section K1 : Advance Payment is Mandatory field.</v>
      </c>
      <c r="G11" s="156" t="s">
        <v>503</v>
      </c>
      <c r="H11" s="156" t="s">
        <v>504</v>
      </c>
      <c r="I11" s="157"/>
      <c r="J11" s="158" t="s">
        <v>502</v>
      </c>
    </row>
    <row r="12" spans="1:10" x14ac:dyDescent="0.3">
      <c r="A12" s="28" t="s">
        <v>815</v>
      </c>
      <c r="B12" s="28" t="s">
        <v>914</v>
      </c>
      <c r="C12" s="28">
        <v>0</v>
      </c>
      <c r="D12" s="28" t="s">
        <v>273</v>
      </c>
      <c r="E12" s="28" t="s">
        <v>1104</v>
      </c>
      <c r="F12" s="28" t="s">
        <v>1105</v>
      </c>
      <c r="J12" s="28" t="s">
        <v>820</v>
      </c>
    </row>
    <row r="13" spans="1:10" x14ac:dyDescent="0.3">
      <c r="A13" s="28" t="s">
        <v>1214</v>
      </c>
      <c r="B13" s="28" t="s">
        <v>1212</v>
      </c>
      <c r="C13" s="28">
        <v>0</v>
      </c>
      <c r="D13" s="28" t="s">
        <v>273</v>
      </c>
      <c r="J13" s="28" t="s">
        <v>1212</v>
      </c>
    </row>
  </sheetData>
  <sheetProtection selectLockedCells="1"/>
  <pageMargins left="0.7" right="0.7" top="0.75" bottom="0.75" header="0.51180555555555551" footer="0.51180555555555551"/>
  <pageSetup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0AF09-2EFE-4331-B84C-3F812F0CFEEE}">
  <sheetPr codeName="Sheet6"/>
  <dimension ref="A1:AD130"/>
  <sheetViews>
    <sheetView topLeftCell="A108" zoomScaleNormal="100" workbookViewId="0">
      <selection activeCell="B118" sqref="B118"/>
    </sheetView>
  </sheetViews>
  <sheetFormatPr defaultRowHeight="15" x14ac:dyDescent="0.25"/>
  <cols>
    <col min="1" max="1" width="30.5703125" customWidth="1"/>
    <col min="2" max="2" width="64" customWidth="1"/>
    <col min="3" max="3" width="42.5703125" customWidth="1"/>
    <col min="4" max="4" width="44" customWidth="1"/>
    <col min="5" max="5" width="23.7109375" customWidth="1"/>
    <col min="6" max="6" width="27.42578125" customWidth="1"/>
    <col min="7" max="7" width="24.42578125" customWidth="1"/>
    <col min="8" max="9" width="23.7109375" customWidth="1"/>
    <col min="10" max="10" width="28.7109375" customWidth="1"/>
    <col min="11" max="13" width="23.7109375" customWidth="1"/>
    <col min="14" max="14" width="27.5703125" customWidth="1"/>
    <col min="15" max="15" width="23.5703125" customWidth="1"/>
    <col min="16" max="16" width="27.28515625" customWidth="1"/>
    <col min="17" max="17" width="22.5703125" customWidth="1"/>
    <col min="18" max="18" width="29" customWidth="1"/>
    <col min="19" max="19" width="29.42578125" customWidth="1"/>
    <col min="20" max="20" width="24.42578125" customWidth="1"/>
    <col min="21" max="21" width="27.42578125" customWidth="1"/>
    <col min="22" max="22" width="26.5703125" customWidth="1"/>
    <col min="23" max="23" width="27.28515625" customWidth="1"/>
    <col min="24" max="24" width="28.42578125" customWidth="1"/>
    <col min="25" max="25" width="27" customWidth="1"/>
    <col min="26" max="26" width="18.28515625" customWidth="1"/>
    <col min="27" max="27" width="19.42578125" customWidth="1"/>
    <col min="28" max="29" width="19" customWidth="1"/>
    <col min="30" max="30" width="56.42578125" customWidth="1"/>
    <col min="31" max="31" width="36.42578125" customWidth="1"/>
  </cols>
  <sheetData>
    <row r="1" spans="1:30" ht="30" x14ac:dyDescent="0.25">
      <c r="A1" s="26" t="s">
        <v>505</v>
      </c>
      <c r="B1" s="26" t="s">
        <v>506</v>
      </c>
      <c r="C1" s="26" t="s">
        <v>506</v>
      </c>
      <c r="D1" s="26" t="s">
        <v>506</v>
      </c>
      <c r="E1" s="26" t="s">
        <v>506</v>
      </c>
      <c r="F1" s="26" t="s">
        <v>506</v>
      </c>
      <c r="G1" s="26" t="s">
        <v>506</v>
      </c>
      <c r="H1" s="26" t="s">
        <v>506</v>
      </c>
      <c r="I1" s="26" t="s">
        <v>506</v>
      </c>
      <c r="J1" s="26" t="s">
        <v>506</v>
      </c>
      <c r="K1" s="26" t="s">
        <v>506</v>
      </c>
      <c r="L1" s="26" t="s">
        <v>506</v>
      </c>
      <c r="M1" s="26" t="s">
        <v>506</v>
      </c>
      <c r="N1" s="26" t="s">
        <v>506</v>
      </c>
      <c r="O1" s="26" t="s">
        <v>506</v>
      </c>
      <c r="P1" s="26" t="s">
        <v>506</v>
      </c>
      <c r="Q1" s="26" t="s">
        <v>506</v>
      </c>
      <c r="R1" s="26" t="s">
        <v>506</v>
      </c>
      <c r="S1" s="26" t="s">
        <v>506</v>
      </c>
      <c r="T1" s="26" t="s">
        <v>506</v>
      </c>
      <c r="U1" s="26" t="s">
        <v>506</v>
      </c>
      <c r="V1" s="26" t="s">
        <v>506</v>
      </c>
      <c r="W1" s="26" t="s">
        <v>506</v>
      </c>
      <c r="X1" s="26" t="s">
        <v>506</v>
      </c>
      <c r="Y1" s="26" t="s">
        <v>506</v>
      </c>
      <c r="Z1" s="26" t="s">
        <v>506</v>
      </c>
      <c r="AA1" s="26" t="s">
        <v>506</v>
      </c>
      <c r="AB1" s="30" t="s">
        <v>506</v>
      </c>
      <c r="AC1" s="30"/>
      <c r="AD1" s="26" t="s">
        <v>474</v>
      </c>
    </row>
    <row r="2" spans="1:30" ht="41.25" customHeight="1" x14ac:dyDescent="0.25">
      <c r="A2" s="159" t="s">
        <v>56</v>
      </c>
      <c r="B2" s="160" t="s">
        <v>406</v>
      </c>
      <c r="C2" s="160" t="s">
        <v>507</v>
      </c>
      <c r="D2" s="161" t="s">
        <v>508</v>
      </c>
      <c r="E2" s="160" t="s">
        <v>509</v>
      </c>
      <c r="F2" s="160" t="s">
        <v>444</v>
      </c>
      <c r="G2" s="160" t="s">
        <v>445</v>
      </c>
      <c r="H2" s="160" t="s">
        <v>446</v>
      </c>
      <c r="I2" s="160" t="s">
        <v>447</v>
      </c>
      <c r="J2" s="160" t="s">
        <v>448</v>
      </c>
      <c r="K2" s="160" t="s">
        <v>449</v>
      </c>
      <c r="L2" s="160" t="s">
        <v>450</v>
      </c>
      <c r="M2" s="160" t="s">
        <v>451</v>
      </c>
      <c r="N2" s="160" t="s">
        <v>510</v>
      </c>
      <c r="O2" s="160" t="s">
        <v>511</v>
      </c>
      <c r="P2" s="160" t="s">
        <v>512</v>
      </c>
      <c r="Q2" s="160" t="s">
        <v>513</v>
      </c>
      <c r="R2" s="160" t="s">
        <v>514</v>
      </c>
      <c r="S2" s="161" t="s">
        <v>515</v>
      </c>
      <c r="T2" s="160" t="s">
        <v>516</v>
      </c>
      <c r="U2" s="161" t="s">
        <v>517</v>
      </c>
      <c r="V2" s="161" t="s">
        <v>518</v>
      </c>
      <c r="W2" s="161" t="s">
        <v>519</v>
      </c>
      <c r="X2" s="161" t="s">
        <v>520</v>
      </c>
      <c r="Y2" s="160" t="s">
        <v>619</v>
      </c>
      <c r="Z2" s="146"/>
      <c r="AA2" s="146"/>
      <c r="AB2" s="146"/>
      <c r="AC2" s="146"/>
      <c r="AD2" s="162" t="s">
        <v>521</v>
      </c>
    </row>
    <row r="3" spans="1:30" x14ac:dyDescent="0.25">
      <c r="A3" s="132" t="s">
        <v>470</v>
      </c>
      <c r="B3" t="s">
        <v>273</v>
      </c>
      <c r="C3" t="s">
        <v>273</v>
      </c>
      <c r="D3" t="s">
        <v>273</v>
      </c>
      <c r="E3" t="s">
        <v>273</v>
      </c>
      <c r="F3" t="s">
        <v>273</v>
      </c>
      <c r="G3" t="s">
        <v>273</v>
      </c>
      <c r="H3" t="s">
        <v>273</v>
      </c>
      <c r="I3" t="s">
        <v>273</v>
      </c>
      <c r="J3" t="s">
        <v>273</v>
      </c>
      <c r="K3" t="s">
        <v>273</v>
      </c>
      <c r="L3" t="s">
        <v>273</v>
      </c>
      <c r="M3" t="s">
        <v>273</v>
      </c>
      <c r="N3" t="s">
        <v>273</v>
      </c>
      <c r="O3" t="s">
        <v>273</v>
      </c>
      <c r="P3" t="s">
        <v>273</v>
      </c>
      <c r="Q3" t="s">
        <v>273</v>
      </c>
      <c r="R3" t="s">
        <v>273</v>
      </c>
      <c r="S3" s="27" t="s">
        <v>273</v>
      </c>
      <c r="T3" t="s">
        <v>273</v>
      </c>
      <c r="U3" t="s">
        <v>273</v>
      </c>
      <c r="V3" t="s">
        <v>273</v>
      </c>
      <c r="W3" t="s">
        <v>273</v>
      </c>
      <c r="X3" t="s">
        <v>335</v>
      </c>
      <c r="Y3" t="s">
        <v>273</v>
      </c>
      <c r="AD3" s="144"/>
    </row>
    <row r="4" spans="1:30" x14ac:dyDescent="0.25">
      <c r="A4" s="132" t="s">
        <v>469</v>
      </c>
      <c r="S4" s="27"/>
      <c r="AD4" s="144"/>
    </row>
    <row r="5" spans="1:30" ht="45" x14ac:dyDescent="0.25">
      <c r="A5" s="132" t="s">
        <v>471</v>
      </c>
      <c r="B5" s="27" t="s">
        <v>522</v>
      </c>
      <c r="C5" s="27" t="s">
        <v>523</v>
      </c>
      <c r="D5" s="27" t="s">
        <v>524</v>
      </c>
      <c r="E5" s="27" t="s">
        <v>525</v>
      </c>
      <c r="F5" s="27" t="s">
        <v>526</v>
      </c>
      <c r="G5" s="27" t="s">
        <v>527</v>
      </c>
      <c r="H5" s="27" t="s">
        <v>528</v>
      </c>
      <c r="I5" s="27" t="s">
        <v>529</v>
      </c>
      <c r="J5" s="27" t="s">
        <v>530</v>
      </c>
      <c r="K5" s="27" t="s">
        <v>531</v>
      </c>
      <c r="L5" s="27" t="s">
        <v>532</v>
      </c>
      <c r="M5" s="27" t="s">
        <v>533</v>
      </c>
      <c r="N5" s="27" t="s">
        <v>534</v>
      </c>
      <c r="O5" s="27" t="s">
        <v>535</v>
      </c>
      <c r="P5" s="27" t="s">
        <v>536</v>
      </c>
      <c r="Q5" s="27" t="s">
        <v>537</v>
      </c>
      <c r="R5" s="27" t="s">
        <v>538</v>
      </c>
      <c r="S5" s="27" t="s">
        <v>539</v>
      </c>
      <c r="T5" s="27" t="s">
        <v>540</v>
      </c>
      <c r="U5" s="27" t="s">
        <v>541</v>
      </c>
      <c r="V5" s="27" t="s">
        <v>542</v>
      </c>
      <c r="W5" s="27" t="s">
        <v>543</v>
      </c>
      <c r="X5" s="27" t="s">
        <v>544</v>
      </c>
      <c r="Y5" s="27" t="s">
        <v>1068</v>
      </c>
      <c r="AD5" s="144"/>
    </row>
    <row r="6" spans="1:30" ht="60" x14ac:dyDescent="0.25">
      <c r="A6" s="132" t="s">
        <v>472</v>
      </c>
      <c r="B6" s="27" t="str">
        <f t="shared" ref="B6:N6" si="0">CONCATENATE(B2,MsgMandat)</f>
        <v>PIN of Employee is Mandatory field.</v>
      </c>
      <c r="C6" s="27" t="str">
        <f t="shared" si="0"/>
        <v>Name of the  Employee is Mandatory field.</v>
      </c>
      <c r="D6" s="27" t="str">
        <f t="shared" si="0"/>
        <v>Residential Status is Mandatory field.</v>
      </c>
      <c r="E6" s="27" t="str">
        <f t="shared" si="0"/>
        <v>Type of Employee is Mandatory field.</v>
      </c>
      <c r="F6" s="27" t="str">
        <f t="shared" si="0"/>
        <v>Basic Salary is Mandatory field.</v>
      </c>
      <c r="G6" s="27" t="str">
        <f t="shared" si="0"/>
        <v>Housing Allowance is Mandatory field.</v>
      </c>
      <c r="H6" s="27" t="str">
        <f t="shared" si="0"/>
        <v>Transport Allowance is Mandatory field.</v>
      </c>
      <c r="I6" s="27" t="str">
        <f t="shared" si="0"/>
        <v>Leave Pay is Mandatory field.</v>
      </c>
      <c r="J6" s="27" t="str">
        <f t="shared" si="0"/>
        <v>Over Time Allowance is Mandatory field.</v>
      </c>
      <c r="K6" s="27" t="str">
        <f t="shared" si="0"/>
        <v>Director's Fee is Mandatory field.</v>
      </c>
      <c r="L6" s="27" t="str">
        <f t="shared" si="0"/>
        <v>Lump Sum Payment if any is Mandatory field.</v>
      </c>
      <c r="M6" s="27" t="str">
        <f t="shared" si="0"/>
        <v>Other Allowance is Mandatory field.</v>
      </c>
      <c r="N6" s="27" t="str">
        <f t="shared" si="0"/>
        <v>Other Non cash Benefits is Mandatory field.</v>
      </c>
      <c r="O6" s="27" t="str">
        <f t="shared" ref="O6:U6" si="1">CONCATENATE(O2,MsgMandat)</f>
        <v>Global Income (In case of non full time service Director) is Mandatory field.</v>
      </c>
      <c r="P6" s="27" t="str">
        <f t="shared" si="1"/>
        <v>Type of Housing is Mandatory field.</v>
      </c>
      <c r="Q6" s="27" t="str">
        <f t="shared" si="1"/>
        <v>Rent of House is Mandatory field.</v>
      </c>
      <c r="R6" s="27" t="str">
        <f t="shared" si="1"/>
        <v>Rent Recovered from Employee is Mandatory field.</v>
      </c>
      <c r="S6" s="27" t="str">
        <f t="shared" si="1"/>
        <v>Actual Contribution is Mandatory field.</v>
      </c>
      <c r="T6" s="27" t="str">
        <f t="shared" si="1"/>
        <v>Mortgage Interest is Mandatory field.</v>
      </c>
      <c r="U6" s="27" t="str">
        <f t="shared" si="1"/>
        <v>Deposit on Home Ownership Saving Plan is Mandatory field.</v>
      </c>
      <c r="V6" s="27" t="str">
        <f>CONCATENATE(V2,MsgMandat)</f>
        <v>Monthly Personal Relief is Mandatory field.</v>
      </c>
      <c r="W6" s="27" t="str">
        <f>CONCATENATE(W2,MsgMandat)</f>
        <v>Self Assessed PAYE Tax is Mandatory field.</v>
      </c>
      <c r="X6" s="27" t="str">
        <f>CONCATENATE(X2,MsgMandat)</f>
        <v>Amount of Insurance Relief is Mandatory field.</v>
      </c>
      <c r="Y6" s="27" t="s">
        <v>1070</v>
      </c>
      <c r="AD6" s="144"/>
    </row>
    <row r="7" spans="1:30" ht="45" x14ac:dyDescent="0.25">
      <c r="A7" s="132" t="s">
        <v>473</v>
      </c>
      <c r="B7" s="27" t="s">
        <v>545</v>
      </c>
      <c r="C7" s="27" t="s">
        <v>546</v>
      </c>
      <c r="D7" s="27"/>
      <c r="E7" s="27"/>
      <c r="F7" s="27" t="s">
        <v>547</v>
      </c>
      <c r="G7" s="27" t="s">
        <v>548</v>
      </c>
      <c r="H7" s="27" t="s">
        <v>549</v>
      </c>
      <c r="I7" s="27" t="s">
        <v>550</v>
      </c>
      <c r="J7" s="27" t="s">
        <v>551</v>
      </c>
      <c r="K7" s="27" t="s">
        <v>552</v>
      </c>
      <c r="L7" s="27" t="s">
        <v>553</v>
      </c>
      <c r="M7" s="27" t="s">
        <v>554</v>
      </c>
      <c r="N7" s="27" t="s">
        <v>555</v>
      </c>
      <c r="O7" s="27" t="s">
        <v>556</v>
      </c>
      <c r="P7" s="27"/>
      <c r="Q7" s="27" t="s">
        <v>557</v>
      </c>
      <c r="R7" s="27" t="s">
        <v>558</v>
      </c>
      <c r="S7" s="27" t="s">
        <v>559</v>
      </c>
      <c r="T7" s="27" t="s">
        <v>560</v>
      </c>
      <c r="U7" s="27" t="s">
        <v>561</v>
      </c>
      <c r="V7" s="27" t="s">
        <v>1107</v>
      </c>
      <c r="W7" s="27" t="s">
        <v>563</v>
      </c>
      <c r="X7" s="27" t="s">
        <v>564</v>
      </c>
      <c r="Y7" s="27" t="s">
        <v>562</v>
      </c>
      <c r="AD7" s="144"/>
    </row>
    <row r="8" spans="1:30" ht="45" x14ac:dyDescent="0.25">
      <c r="A8" s="133" t="s">
        <v>472</v>
      </c>
      <c r="B8" s="163" t="s">
        <v>1074</v>
      </c>
      <c r="C8" s="163" t="str">
        <f>MsgAlpNumSpl</f>
        <v>Please enter alphanumeric value. Only Special characters like (space , . / - :) are allowed.</v>
      </c>
      <c r="D8" s="163"/>
      <c r="E8" s="163" t="str">
        <f t="shared" ref="E8:N8" si="2">MsgNum</f>
        <v>Please enter numeric value only.</v>
      </c>
      <c r="F8" s="163" t="str">
        <f t="shared" si="2"/>
        <v>Please enter numeric value only.</v>
      </c>
      <c r="G8" s="163" t="str">
        <f t="shared" si="2"/>
        <v>Please enter numeric value only.</v>
      </c>
      <c r="H8" s="163" t="str">
        <f t="shared" si="2"/>
        <v>Please enter numeric value only.</v>
      </c>
      <c r="I8" s="163" t="str">
        <f t="shared" si="2"/>
        <v>Please enter numeric value only.</v>
      </c>
      <c r="J8" s="163" t="str">
        <f t="shared" si="2"/>
        <v>Please enter numeric value only.</v>
      </c>
      <c r="K8" s="163" t="str">
        <f t="shared" si="2"/>
        <v>Please enter numeric value only.</v>
      </c>
      <c r="L8" s="163" t="str">
        <f t="shared" si="2"/>
        <v>Please enter numeric value only.</v>
      </c>
      <c r="M8" s="163" t="str">
        <f t="shared" si="2"/>
        <v>Please enter numeric value only.</v>
      </c>
      <c r="N8" s="163" t="str">
        <f t="shared" si="2"/>
        <v>Please enter numeric value only.</v>
      </c>
      <c r="O8" s="163"/>
      <c r="P8" s="163" t="str">
        <f t="shared" ref="P8:Y8" si="3">MsgNum</f>
        <v>Please enter numeric value only.</v>
      </c>
      <c r="Q8" s="163" t="str">
        <f t="shared" si="3"/>
        <v>Please enter numeric value only.</v>
      </c>
      <c r="R8" s="163" t="str">
        <f t="shared" si="3"/>
        <v>Please enter numeric value only.</v>
      </c>
      <c r="S8" s="163" t="str">
        <f t="shared" si="3"/>
        <v>Please enter numeric value only.</v>
      </c>
      <c r="T8" s="163" t="str">
        <f t="shared" si="3"/>
        <v>Please enter numeric value only.</v>
      </c>
      <c r="U8" s="163" t="str">
        <f t="shared" si="3"/>
        <v>Please enter numeric value only.</v>
      </c>
      <c r="V8" s="163" t="str">
        <f t="shared" si="3"/>
        <v>Please enter numeric value only.</v>
      </c>
      <c r="W8" s="163" t="str">
        <f t="shared" si="3"/>
        <v>Please enter numeric value only.</v>
      </c>
      <c r="X8" s="163" t="str">
        <f t="shared" si="3"/>
        <v>Please enter numeric value only.</v>
      </c>
      <c r="Y8" s="163" t="str">
        <f t="shared" si="3"/>
        <v>Please enter numeric value only.</v>
      </c>
      <c r="Z8" s="147"/>
      <c r="AA8" s="147"/>
      <c r="AB8" s="147"/>
      <c r="AC8" s="147"/>
      <c r="AD8" s="145"/>
    </row>
    <row r="9" spans="1:30" x14ac:dyDescent="0.25">
      <c r="A9" s="132" t="s">
        <v>846</v>
      </c>
      <c r="B9" s="27"/>
      <c r="C9" s="27"/>
      <c r="D9" s="27"/>
      <c r="E9" s="27"/>
      <c r="F9" s="27"/>
      <c r="G9" s="27"/>
      <c r="H9" s="27"/>
      <c r="I9" s="27"/>
      <c r="J9" s="27"/>
      <c r="K9" s="27"/>
      <c r="L9" s="27"/>
      <c r="M9" s="27"/>
      <c r="N9" s="27"/>
      <c r="O9" s="27"/>
      <c r="P9" s="27"/>
      <c r="Q9" s="27"/>
      <c r="R9" s="27"/>
      <c r="S9" s="27"/>
      <c r="T9" s="27"/>
      <c r="U9" s="27"/>
      <c r="V9" s="27"/>
      <c r="W9" s="27"/>
      <c r="X9" s="27"/>
      <c r="Y9" s="27"/>
      <c r="AD9" s="144"/>
    </row>
    <row r="10" spans="1:30" x14ac:dyDescent="0.25">
      <c r="A10" s="133" t="s">
        <v>472</v>
      </c>
      <c r="B10" s="163"/>
      <c r="C10" s="163"/>
      <c r="D10" s="163"/>
      <c r="E10" s="163"/>
      <c r="F10" s="163"/>
      <c r="G10" s="163"/>
      <c r="H10" s="163"/>
      <c r="I10" s="163"/>
      <c r="J10" s="163"/>
      <c r="K10" s="163"/>
      <c r="L10" s="163"/>
      <c r="M10" s="163"/>
      <c r="N10" s="163"/>
      <c r="O10" s="163"/>
      <c r="P10" s="163"/>
      <c r="Q10" s="163"/>
      <c r="R10" s="163"/>
      <c r="S10" s="163"/>
      <c r="T10" s="163" t="str">
        <f>MsgNum</f>
        <v>Please enter numeric value only.</v>
      </c>
      <c r="U10" s="163"/>
      <c r="V10" s="163" t="str">
        <f>MsgNum</f>
        <v>Please enter numeric value only.</v>
      </c>
      <c r="W10" s="163"/>
      <c r="X10" s="163"/>
      <c r="Y10" s="163"/>
      <c r="Z10" s="147"/>
      <c r="AA10" s="147"/>
      <c r="AB10" s="147"/>
      <c r="AC10" s="147"/>
      <c r="AD10" s="145"/>
    </row>
    <row r="12" spans="1:30" ht="30" x14ac:dyDescent="0.25">
      <c r="A12" s="159" t="s">
        <v>77</v>
      </c>
      <c r="B12" s="160" t="s">
        <v>406</v>
      </c>
      <c r="C12" s="160" t="s">
        <v>507</v>
      </c>
      <c r="D12" s="161" t="s">
        <v>508</v>
      </c>
      <c r="E12" s="160" t="s">
        <v>509</v>
      </c>
      <c r="F12" s="160" t="s">
        <v>565</v>
      </c>
      <c r="G12" s="160" t="s">
        <v>444</v>
      </c>
      <c r="H12" s="160" t="s">
        <v>445</v>
      </c>
      <c r="I12" s="160" t="s">
        <v>446</v>
      </c>
      <c r="J12" s="160" t="s">
        <v>447</v>
      </c>
      <c r="K12" s="160" t="s">
        <v>448</v>
      </c>
      <c r="L12" s="160" t="s">
        <v>449</v>
      </c>
      <c r="M12" s="160" t="s">
        <v>450</v>
      </c>
      <c r="N12" s="160" t="s">
        <v>451</v>
      </c>
      <c r="O12" s="160" t="s">
        <v>510</v>
      </c>
      <c r="P12" s="160" t="s">
        <v>511</v>
      </c>
      <c r="Q12" s="160" t="s">
        <v>512</v>
      </c>
      <c r="R12" s="160" t="s">
        <v>513</v>
      </c>
      <c r="S12" s="160" t="s">
        <v>514</v>
      </c>
      <c r="T12" s="161" t="s">
        <v>515</v>
      </c>
      <c r="U12" s="160" t="s">
        <v>516</v>
      </c>
      <c r="V12" s="161" t="s">
        <v>517</v>
      </c>
      <c r="W12" s="161" t="s">
        <v>518</v>
      </c>
      <c r="X12" s="161" t="s">
        <v>519</v>
      </c>
      <c r="Y12" s="161" t="s">
        <v>520</v>
      </c>
      <c r="Z12" s="161" t="s">
        <v>619</v>
      </c>
      <c r="AA12" s="146"/>
      <c r="AB12" s="146"/>
      <c r="AC12" s="146"/>
      <c r="AD12" s="162" t="s">
        <v>566</v>
      </c>
    </row>
    <row r="13" spans="1:30" x14ac:dyDescent="0.25">
      <c r="A13" s="132" t="s">
        <v>470</v>
      </c>
      <c r="B13" t="s">
        <v>273</v>
      </c>
      <c r="C13" t="s">
        <v>273</v>
      </c>
      <c r="D13" t="s">
        <v>273</v>
      </c>
      <c r="E13" t="s">
        <v>273</v>
      </c>
      <c r="F13" t="s">
        <v>273</v>
      </c>
      <c r="G13" t="s">
        <v>273</v>
      </c>
      <c r="H13" t="s">
        <v>273</v>
      </c>
      <c r="I13" t="s">
        <v>273</v>
      </c>
      <c r="J13" t="s">
        <v>273</v>
      </c>
      <c r="K13" t="s">
        <v>273</v>
      </c>
      <c r="L13" t="s">
        <v>273</v>
      </c>
      <c r="M13" t="s">
        <v>273</v>
      </c>
      <c r="N13" t="s">
        <v>273</v>
      </c>
      <c r="O13" t="s">
        <v>273</v>
      </c>
      <c r="P13" t="s">
        <v>273</v>
      </c>
      <c r="Q13" t="s">
        <v>273</v>
      </c>
      <c r="R13" t="s">
        <v>273</v>
      </c>
      <c r="S13" t="s">
        <v>273</v>
      </c>
      <c r="T13" s="27" t="s">
        <v>273</v>
      </c>
      <c r="U13" t="s">
        <v>273</v>
      </c>
      <c r="V13" t="s">
        <v>273</v>
      </c>
      <c r="W13" t="s">
        <v>273</v>
      </c>
      <c r="X13" t="s">
        <v>273</v>
      </c>
      <c r="Y13" t="s">
        <v>335</v>
      </c>
      <c r="Z13" t="s">
        <v>273</v>
      </c>
      <c r="AD13" s="144"/>
    </row>
    <row r="14" spans="1:30" x14ac:dyDescent="0.25">
      <c r="A14" s="132" t="s">
        <v>469</v>
      </c>
      <c r="T14" s="27"/>
      <c r="AD14" s="144"/>
    </row>
    <row r="15" spans="1:30" ht="45" x14ac:dyDescent="0.25">
      <c r="A15" s="132" t="s">
        <v>471</v>
      </c>
      <c r="B15" t="s">
        <v>567</v>
      </c>
      <c r="C15" t="s">
        <v>568</v>
      </c>
      <c r="D15" t="s">
        <v>569</v>
      </c>
      <c r="E15" t="s">
        <v>570</v>
      </c>
      <c r="F15" t="s">
        <v>571</v>
      </c>
      <c r="G15" t="s">
        <v>572</v>
      </c>
      <c r="H15" t="s">
        <v>573</v>
      </c>
      <c r="I15" t="s">
        <v>574</v>
      </c>
      <c r="J15" t="s">
        <v>575</v>
      </c>
      <c r="K15" t="s">
        <v>576</v>
      </c>
      <c r="L15" t="s">
        <v>577</v>
      </c>
      <c r="M15" t="s">
        <v>578</v>
      </c>
      <c r="N15" t="s">
        <v>579</v>
      </c>
      <c r="O15" t="s">
        <v>580</v>
      </c>
      <c r="P15" t="s">
        <v>581</v>
      </c>
      <c r="Q15" t="s">
        <v>582</v>
      </c>
      <c r="R15" t="s">
        <v>583</v>
      </c>
      <c r="S15" t="s">
        <v>584</v>
      </c>
      <c r="T15" s="27" t="s">
        <v>585</v>
      </c>
      <c r="U15" t="s">
        <v>586</v>
      </c>
      <c r="V15" t="s">
        <v>587</v>
      </c>
      <c r="W15" t="s">
        <v>588</v>
      </c>
      <c r="X15" t="s">
        <v>589</v>
      </c>
      <c r="Y15" t="s">
        <v>590</v>
      </c>
      <c r="Z15" t="s">
        <v>1071</v>
      </c>
      <c r="AA15" t="s">
        <v>273</v>
      </c>
      <c r="AB15" t="s">
        <v>1069</v>
      </c>
      <c r="AD15" s="144"/>
    </row>
    <row r="16" spans="1:30" ht="45" x14ac:dyDescent="0.25">
      <c r="A16" s="132" t="s">
        <v>472</v>
      </c>
      <c r="B16" t="str">
        <f t="shared" ref="B16:W16" si="4">CONCATENATE(B12,MsgMandat)</f>
        <v>PIN of Employee is Mandatory field.</v>
      </c>
      <c r="C16" s="27" t="str">
        <f t="shared" si="4"/>
        <v>Name of the  Employee is Mandatory field.</v>
      </c>
      <c r="D16" s="27" t="str">
        <f t="shared" si="4"/>
        <v>Residential Status is Mandatory field.</v>
      </c>
      <c r="E16" t="str">
        <f t="shared" si="4"/>
        <v>Type of Employee is Mandatory field.</v>
      </c>
      <c r="F16" t="str">
        <f t="shared" si="4"/>
        <v>Exemption Certificate Number is Mandatory field.</v>
      </c>
      <c r="G16" t="str">
        <f t="shared" si="4"/>
        <v>Basic Salary is Mandatory field.</v>
      </c>
      <c r="H16" t="str">
        <f t="shared" si="4"/>
        <v>Housing Allowance is Mandatory field.</v>
      </c>
      <c r="I16" t="str">
        <f t="shared" si="4"/>
        <v>Transport Allowance is Mandatory field.</v>
      </c>
      <c r="J16" t="str">
        <f t="shared" si="4"/>
        <v>Leave Pay is Mandatory field.</v>
      </c>
      <c r="K16" t="str">
        <f t="shared" si="4"/>
        <v>Over Time Allowance is Mandatory field.</v>
      </c>
      <c r="L16" t="str">
        <f t="shared" si="4"/>
        <v>Director's Fee is Mandatory field.</v>
      </c>
      <c r="M16" t="str">
        <f t="shared" si="4"/>
        <v>Lump Sum Payment if any is Mandatory field.</v>
      </c>
      <c r="N16" t="str">
        <f t="shared" si="4"/>
        <v>Other Allowance is Mandatory field.</v>
      </c>
      <c r="O16" t="str">
        <f t="shared" si="4"/>
        <v>Other Non cash Benefits is Mandatory field.</v>
      </c>
      <c r="P16" t="str">
        <f t="shared" si="4"/>
        <v>Global Income (In case of non full time service Director) is Mandatory field.</v>
      </c>
      <c r="Q16" t="str">
        <f t="shared" si="4"/>
        <v>Type of Housing is Mandatory field.</v>
      </c>
      <c r="R16" t="str">
        <f t="shared" si="4"/>
        <v>Rent of House is Mandatory field.</v>
      </c>
      <c r="S16" t="str">
        <f t="shared" si="4"/>
        <v>Rent Recovered from Employee is Mandatory field.</v>
      </c>
      <c r="T16" s="27" t="str">
        <f t="shared" si="4"/>
        <v>Actual Contribution is Mandatory field.</v>
      </c>
      <c r="U16" s="27" t="str">
        <f t="shared" si="4"/>
        <v>Mortgage Interest is Mandatory field.</v>
      </c>
      <c r="V16" s="27" t="str">
        <f t="shared" si="4"/>
        <v>Deposit on Home Ownership Saving Plan is Mandatory field.</v>
      </c>
      <c r="W16" s="27" t="str">
        <f t="shared" si="4"/>
        <v>Monthly Personal Relief is Mandatory field.</v>
      </c>
      <c r="X16" s="27" t="str">
        <f>CONCATENATE(X12,MsgMandat)</f>
        <v>Self Assessed PAYE Tax is Mandatory field.</v>
      </c>
      <c r="Y16" s="27" t="str">
        <f>CONCATENATE(Y12,MsgMandat)</f>
        <v>Amount of Insurance Relief is Mandatory field.</v>
      </c>
      <c r="Z16" s="27" t="s">
        <v>1070</v>
      </c>
      <c r="AD16" s="144"/>
    </row>
    <row r="17" spans="1:30" ht="45" x14ac:dyDescent="0.25">
      <c r="A17" s="132" t="s">
        <v>473</v>
      </c>
      <c r="B17" t="s">
        <v>591</v>
      </c>
      <c r="C17" t="s">
        <v>592</v>
      </c>
      <c r="D17" s="27"/>
      <c r="F17" t="s">
        <v>1117</v>
      </c>
      <c r="G17" t="s">
        <v>593</v>
      </c>
      <c r="H17" t="s">
        <v>594</v>
      </c>
      <c r="I17" t="s">
        <v>595</v>
      </c>
      <c r="J17" t="s">
        <v>596</v>
      </c>
      <c r="K17" t="s">
        <v>597</v>
      </c>
      <c r="L17" t="s">
        <v>598</v>
      </c>
      <c r="M17" t="s">
        <v>599</v>
      </c>
      <c r="N17" t="s">
        <v>600</v>
      </c>
      <c r="O17" t="s">
        <v>601</v>
      </c>
      <c r="P17" t="s">
        <v>602</v>
      </c>
      <c r="R17" t="s">
        <v>603</v>
      </c>
      <c r="S17" t="s">
        <v>604</v>
      </c>
      <c r="T17" s="27" t="s">
        <v>605</v>
      </c>
      <c r="U17" s="27" t="s">
        <v>606</v>
      </c>
      <c r="V17" s="27" t="s">
        <v>607</v>
      </c>
      <c r="W17" s="27" t="s">
        <v>608</v>
      </c>
      <c r="X17" s="27" t="s">
        <v>609</v>
      </c>
      <c r="Y17" t="s">
        <v>610</v>
      </c>
      <c r="AD17" s="144"/>
    </row>
    <row r="18" spans="1:30" ht="60" x14ac:dyDescent="0.25">
      <c r="A18" s="132" t="s">
        <v>472</v>
      </c>
      <c r="B18" t="s">
        <v>1074</v>
      </c>
      <c r="C18" s="27" t="str">
        <f>MsgAlpNumSpl</f>
        <v>Please enter alphanumeric value. Only Special characters like (space , . / - :) are allowed.</v>
      </c>
      <c r="D18" s="27"/>
      <c r="F18" s="27" t="s">
        <v>1143</v>
      </c>
      <c r="G18" t="str">
        <f t="shared" ref="G18:O18" si="5">MsgNum</f>
        <v>Please enter numeric value only.</v>
      </c>
      <c r="H18" t="str">
        <f t="shared" si="5"/>
        <v>Please enter numeric value only.</v>
      </c>
      <c r="I18" t="str">
        <f t="shared" si="5"/>
        <v>Please enter numeric value only.</v>
      </c>
      <c r="J18" t="str">
        <f t="shared" si="5"/>
        <v>Please enter numeric value only.</v>
      </c>
      <c r="K18" t="str">
        <f t="shared" si="5"/>
        <v>Please enter numeric value only.</v>
      </c>
      <c r="L18" t="str">
        <f t="shared" si="5"/>
        <v>Please enter numeric value only.</v>
      </c>
      <c r="M18" t="str">
        <f t="shared" si="5"/>
        <v>Please enter numeric value only.</v>
      </c>
      <c r="N18" t="str">
        <f t="shared" si="5"/>
        <v>Please enter numeric value only.</v>
      </c>
      <c r="O18" t="str">
        <f t="shared" si="5"/>
        <v>Please enter numeric value only.</v>
      </c>
      <c r="R18" t="str">
        <f t="shared" ref="R18:X18" si="6">MsgNum</f>
        <v>Please enter numeric value only.</v>
      </c>
      <c r="S18" s="27" t="str">
        <f t="shared" si="6"/>
        <v>Please enter numeric value only.</v>
      </c>
      <c r="T18" s="27" t="str">
        <f t="shared" si="6"/>
        <v>Please enter numeric value only.</v>
      </c>
      <c r="U18" s="27" t="str">
        <f t="shared" si="6"/>
        <v>Please enter numeric value only.</v>
      </c>
      <c r="V18" s="27" t="str">
        <f t="shared" si="6"/>
        <v>Please enter numeric value only.</v>
      </c>
      <c r="W18" s="27" t="str">
        <f t="shared" si="6"/>
        <v>Please enter numeric value only.</v>
      </c>
      <c r="X18" s="27" t="str">
        <f t="shared" si="6"/>
        <v>Please enter numeric value only.</v>
      </c>
      <c r="Y18" s="27" t="str">
        <f>MsgNum</f>
        <v>Please enter numeric value only.</v>
      </c>
      <c r="AD18" s="144"/>
    </row>
    <row r="19" spans="1:30" x14ac:dyDescent="0.25">
      <c r="A19" s="132" t="s">
        <v>846</v>
      </c>
      <c r="C19" s="27"/>
      <c r="D19" s="27"/>
      <c r="F19" s="27"/>
      <c r="S19" s="27"/>
      <c r="T19" s="27"/>
      <c r="U19" s="27"/>
      <c r="V19" s="27"/>
      <c r="W19" s="27"/>
      <c r="X19" s="27"/>
      <c r="Y19" s="27"/>
      <c r="AD19" s="144"/>
    </row>
    <row r="20" spans="1:30" ht="45" x14ac:dyDescent="0.25">
      <c r="A20" s="133" t="s">
        <v>472</v>
      </c>
      <c r="B20" s="147"/>
      <c r="C20" s="163"/>
      <c r="D20" s="163"/>
      <c r="E20" s="147"/>
      <c r="F20" s="163"/>
      <c r="G20" s="147"/>
      <c r="H20" s="147"/>
      <c r="I20" s="147"/>
      <c r="J20" s="147"/>
      <c r="K20" s="147"/>
      <c r="L20" s="147"/>
      <c r="M20" s="147"/>
      <c r="N20" s="147"/>
      <c r="O20" s="147"/>
      <c r="P20" s="147"/>
      <c r="Q20" s="147"/>
      <c r="R20" s="147"/>
      <c r="S20" s="163"/>
      <c r="T20" s="163"/>
      <c r="U20" s="163" t="s">
        <v>1137</v>
      </c>
      <c r="V20" s="163" t="s">
        <v>1138</v>
      </c>
      <c r="W20" s="163" t="s">
        <v>1139</v>
      </c>
      <c r="X20" s="163"/>
      <c r="Y20" s="163"/>
      <c r="Z20" s="147"/>
      <c r="AA20" s="147"/>
      <c r="AB20" s="147"/>
      <c r="AC20" s="147"/>
      <c r="AD20" s="145"/>
    </row>
    <row r="22" spans="1:30" x14ac:dyDescent="0.25">
      <c r="A22" s="159" t="s">
        <v>611</v>
      </c>
      <c r="B22" s="160" t="s">
        <v>406</v>
      </c>
      <c r="C22" s="160" t="s">
        <v>612</v>
      </c>
      <c r="D22" s="160" t="s">
        <v>613</v>
      </c>
      <c r="E22" s="160" t="s">
        <v>396</v>
      </c>
      <c r="F22" s="160" t="s">
        <v>614</v>
      </c>
      <c r="G22" s="160" t="s">
        <v>615</v>
      </c>
      <c r="H22" s="160" t="s">
        <v>616</v>
      </c>
      <c r="I22" s="160" t="s">
        <v>617</v>
      </c>
      <c r="J22" s="160" t="s">
        <v>618</v>
      </c>
      <c r="K22" s="160" t="s">
        <v>619</v>
      </c>
      <c r="L22" s="146"/>
      <c r="M22" s="146"/>
      <c r="N22" s="146"/>
      <c r="O22" s="146"/>
      <c r="P22" s="146"/>
      <c r="Q22" s="146"/>
      <c r="R22" s="146"/>
      <c r="S22" s="146"/>
      <c r="T22" s="146"/>
      <c r="U22" s="146"/>
      <c r="V22" s="146"/>
      <c r="W22" s="146"/>
      <c r="X22" s="146"/>
      <c r="Y22" s="146"/>
      <c r="Z22" s="146"/>
      <c r="AA22" s="146"/>
      <c r="AB22" s="146"/>
      <c r="AC22" s="146"/>
      <c r="AD22" s="143" t="s">
        <v>620</v>
      </c>
    </row>
    <row r="23" spans="1:30" x14ac:dyDescent="0.25">
      <c r="A23" s="132" t="s">
        <v>470</v>
      </c>
      <c r="B23" t="s">
        <v>273</v>
      </c>
      <c r="C23" t="s">
        <v>273</v>
      </c>
      <c r="D23" t="s">
        <v>273</v>
      </c>
      <c r="E23" t="s">
        <v>273</v>
      </c>
      <c r="F23" t="s">
        <v>273</v>
      </c>
      <c r="G23" t="s">
        <v>273</v>
      </c>
      <c r="H23" t="s">
        <v>273</v>
      </c>
      <c r="I23" t="s">
        <v>273</v>
      </c>
      <c r="J23" t="s">
        <v>273</v>
      </c>
      <c r="K23" t="s">
        <v>335</v>
      </c>
      <c r="AD23" s="144"/>
    </row>
    <row r="24" spans="1:30" x14ac:dyDescent="0.25">
      <c r="A24" s="132" t="s">
        <v>469</v>
      </c>
      <c r="AD24" s="144"/>
    </row>
    <row r="25" spans="1:30" x14ac:dyDescent="0.25">
      <c r="A25" s="132" t="s">
        <v>471</v>
      </c>
      <c r="B25" t="s">
        <v>621</v>
      </c>
      <c r="C25" t="s">
        <v>622</v>
      </c>
      <c r="D25" t="s">
        <v>623</v>
      </c>
      <c r="E25" t="s">
        <v>624</v>
      </c>
      <c r="F25" t="s">
        <v>625</v>
      </c>
      <c r="G25" t="s">
        <v>626</v>
      </c>
      <c r="H25" t="s">
        <v>627</v>
      </c>
      <c r="I25" t="s">
        <v>628</v>
      </c>
      <c r="J25" t="s">
        <v>629</v>
      </c>
      <c r="K25" t="s">
        <v>630</v>
      </c>
      <c r="AD25" s="144"/>
    </row>
    <row r="26" spans="1:30" x14ac:dyDescent="0.25">
      <c r="A26" s="132" t="s">
        <v>472</v>
      </c>
      <c r="B26" t="str">
        <f t="shared" ref="B26:K26" si="7">CONCATENATE(B22,MsgMandat)</f>
        <v>PIN of Employee is Mandatory field.</v>
      </c>
      <c r="C26" t="str">
        <f t="shared" si="7"/>
        <v>Reference to Section is Mandatory field.</v>
      </c>
      <c r="D26" t="str">
        <f t="shared" si="7"/>
        <v>Car Registration Number is Mandatory field.</v>
      </c>
      <c r="E26" t="str">
        <f t="shared" si="7"/>
        <v>Make is Mandatory field.</v>
      </c>
      <c r="F26" t="str">
        <f t="shared" si="7"/>
        <v>Body Type is Mandatory field.</v>
      </c>
      <c r="G26" t="str">
        <f t="shared" si="7"/>
        <v>CC Rating is Mandatory field.</v>
      </c>
      <c r="H26" t="str">
        <f t="shared" si="7"/>
        <v>Type of Car Cost is Mandatory field.</v>
      </c>
      <c r="I26" t="str">
        <f t="shared" si="7"/>
        <v>Cost of Hiring / Leasing is Mandatory field.</v>
      </c>
      <c r="J26" t="str">
        <f t="shared" si="7"/>
        <v>Cost of Owned Car is Mandatory field.</v>
      </c>
      <c r="K26" t="str">
        <f t="shared" si="7"/>
        <v>Value of Car Benefit is Mandatory field.</v>
      </c>
      <c r="AD26" s="144"/>
    </row>
    <row r="27" spans="1:30" x14ac:dyDescent="0.25">
      <c r="A27" s="132" t="s">
        <v>473</v>
      </c>
      <c r="B27" t="s">
        <v>631</v>
      </c>
      <c r="D27" t="s">
        <v>632</v>
      </c>
      <c r="E27" t="s">
        <v>633</v>
      </c>
      <c r="G27" t="s">
        <v>634</v>
      </c>
      <c r="I27" t="s">
        <v>635</v>
      </c>
      <c r="J27" t="s">
        <v>636</v>
      </c>
      <c r="K27" t="s">
        <v>637</v>
      </c>
      <c r="AD27" s="144"/>
    </row>
    <row r="28" spans="1:30" x14ac:dyDescent="0.25">
      <c r="A28" s="133" t="s">
        <v>472</v>
      </c>
      <c r="B28" s="147" t="str">
        <f>CONCATENATE(B22,MsgPINDup)</f>
        <v>PIN of Employee can not be same as  Taxpayer's PIN.</v>
      </c>
      <c r="C28" s="147"/>
      <c r="D28" s="147" t="str">
        <f>MsgAlpNumSpl</f>
        <v>Please enter alphanumeric value. Only Special characters like (space , . / - :) are allowed.</v>
      </c>
      <c r="E28" s="147" t="str">
        <f>MsgAlpNumSpl</f>
        <v>Please enter alphanumeric value. Only Special characters like (space , . / - :) are allowed.</v>
      </c>
      <c r="F28" s="147"/>
      <c r="G28" s="147" t="str">
        <f>MsgNum</f>
        <v>Please enter numeric value only.</v>
      </c>
      <c r="H28" s="147"/>
      <c r="I28" s="147" t="str">
        <f>MsgNum</f>
        <v>Please enter numeric value only.</v>
      </c>
      <c r="J28" s="147" t="str">
        <f>MsgNum</f>
        <v>Please enter numeric value only.</v>
      </c>
      <c r="K28" s="147" t="str">
        <f>MsgNum</f>
        <v>Please enter numeric value only.</v>
      </c>
      <c r="L28" s="147"/>
      <c r="M28" s="147"/>
      <c r="N28" s="147"/>
      <c r="O28" s="147"/>
      <c r="P28" s="147"/>
      <c r="Q28" s="147"/>
      <c r="R28" s="147"/>
      <c r="S28" s="147"/>
      <c r="T28" s="147"/>
      <c r="U28" s="147"/>
      <c r="V28" s="147"/>
      <c r="W28" s="147"/>
      <c r="X28" s="147"/>
      <c r="Y28" s="147"/>
      <c r="Z28" s="147"/>
      <c r="AA28" s="147"/>
      <c r="AB28" s="147"/>
      <c r="AC28" s="147"/>
      <c r="AD28" s="145"/>
    </row>
    <row r="30" spans="1:30" x14ac:dyDescent="0.25">
      <c r="A30" s="159" t="s">
        <v>638</v>
      </c>
      <c r="B30" s="160" t="s">
        <v>406</v>
      </c>
      <c r="C30" s="160" t="s">
        <v>612</v>
      </c>
      <c r="D30" s="160" t="s">
        <v>639</v>
      </c>
      <c r="E30" s="160" t="s">
        <v>640</v>
      </c>
      <c r="F30" s="160" t="s">
        <v>641</v>
      </c>
      <c r="G30" s="160" t="s">
        <v>642</v>
      </c>
      <c r="H30" s="160" t="s">
        <v>643</v>
      </c>
      <c r="I30" s="160" t="s">
        <v>644</v>
      </c>
      <c r="J30" s="160" t="s">
        <v>645</v>
      </c>
      <c r="K30" s="160" t="s">
        <v>646</v>
      </c>
      <c r="L30" s="160" t="s">
        <v>647</v>
      </c>
      <c r="M30" s="160" t="s">
        <v>648</v>
      </c>
      <c r="N30" s="160" t="s">
        <v>649</v>
      </c>
      <c r="O30" s="146"/>
      <c r="P30" s="146"/>
      <c r="Q30" s="146"/>
      <c r="R30" s="146"/>
      <c r="S30" s="146"/>
      <c r="T30" s="146"/>
      <c r="U30" s="146"/>
      <c r="V30" s="146"/>
      <c r="W30" s="146"/>
      <c r="X30" s="146"/>
      <c r="Y30" s="146"/>
      <c r="Z30" s="146"/>
      <c r="AA30" s="146"/>
      <c r="AB30" s="146"/>
      <c r="AC30" s="146"/>
      <c r="AD30" s="143" t="s">
        <v>650</v>
      </c>
    </row>
    <row r="31" spans="1:30" x14ac:dyDescent="0.25">
      <c r="A31" s="132" t="s">
        <v>470</v>
      </c>
      <c r="B31" t="s">
        <v>273</v>
      </c>
      <c r="C31" t="s">
        <v>273</v>
      </c>
      <c r="D31" t="s">
        <v>273</v>
      </c>
      <c r="E31" t="s">
        <v>273</v>
      </c>
      <c r="F31" t="s">
        <v>273</v>
      </c>
      <c r="G31" t="s">
        <v>273</v>
      </c>
      <c r="H31" t="s">
        <v>273</v>
      </c>
      <c r="I31" t="s">
        <v>335</v>
      </c>
      <c r="J31" t="s">
        <v>273</v>
      </c>
      <c r="K31" t="s">
        <v>273</v>
      </c>
      <c r="L31" t="s">
        <v>273</v>
      </c>
      <c r="M31" t="s">
        <v>273</v>
      </c>
      <c r="N31" t="s">
        <v>273</v>
      </c>
      <c r="AD31" s="144"/>
    </row>
    <row r="32" spans="1:30" x14ac:dyDescent="0.25">
      <c r="A32" s="132" t="s">
        <v>469</v>
      </c>
      <c r="AD32" s="144"/>
    </row>
    <row r="33" spans="1:30" x14ac:dyDescent="0.25">
      <c r="A33" s="132" t="s">
        <v>471</v>
      </c>
      <c r="B33" t="s">
        <v>651</v>
      </c>
      <c r="C33" t="s">
        <v>652</v>
      </c>
      <c r="D33" t="s">
        <v>653</v>
      </c>
      <c r="E33" t="s">
        <v>654</v>
      </c>
      <c r="F33" t="s">
        <v>655</v>
      </c>
      <c r="G33" t="s">
        <v>656</v>
      </c>
      <c r="H33" t="s">
        <v>657</v>
      </c>
      <c r="I33" t="s">
        <v>658</v>
      </c>
      <c r="J33" t="s">
        <v>659</v>
      </c>
      <c r="K33" t="s">
        <v>660</v>
      </c>
      <c r="L33" t="s">
        <v>661</v>
      </c>
      <c r="M33" t="s">
        <v>662</v>
      </c>
      <c r="N33" t="s">
        <v>663</v>
      </c>
      <c r="AD33" s="144"/>
    </row>
    <row r="34" spans="1:30" x14ac:dyDescent="0.25">
      <c r="A34" s="132" t="s">
        <v>472</v>
      </c>
      <c r="B34" t="str">
        <f t="shared" ref="B34:M34" si="8">CONCATENATE(B30,MsgMandat)</f>
        <v>PIN of Employee is Mandatory field.</v>
      </c>
      <c r="C34" t="str">
        <f t="shared" si="8"/>
        <v>Reference to Section is Mandatory field.</v>
      </c>
      <c r="D34" t="str">
        <f t="shared" si="8"/>
        <v>PIN of Insurance Company is Mandatory field.</v>
      </c>
      <c r="E34" t="str">
        <f t="shared" si="8"/>
        <v>Name of Insurance Company is Mandatory field.</v>
      </c>
      <c r="F34" t="str">
        <f t="shared" si="8"/>
        <v>Purpose of Policy is Mandatory field.</v>
      </c>
      <c r="G34" t="str">
        <f t="shared" si="8"/>
        <v>Insurance Policy Number is Mandatory field.</v>
      </c>
      <c r="H34" t="str">
        <f t="shared" si="8"/>
        <v>Policy Holder is Mandatory field.</v>
      </c>
      <c r="I34" t="str">
        <f t="shared" si="8"/>
        <v>Age of Child is Mandatory field.</v>
      </c>
      <c r="J34" t="str">
        <f t="shared" si="8"/>
        <v>Commencement Date is Mandatory field.</v>
      </c>
      <c r="K34" t="str">
        <f t="shared" si="8"/>
        <v>Maturity Date is Mandatory field.</v>
      </c>
      <c r="L34" t="str">
        <f t="shared" si="8"/>
        <v>Sum Assured is Mandatory field.</v>
      </c>
      <c r="M34" t="str">
        <f t="shared" si="8"/>
        <v>Premium paid till month (Ksh) (A) is Mandatory field.</v>
      </c>
      <c r="N34" t="str">
        <f>CONCATENATE(N30,MsgMandat)</f>
        <v>Date of payment of premium is Mandatory field.</v>
      </c>
      <c r="AD34" s="144"/>
    </row>
    <row r="35" spans="1:30" x14ac:dyDescent="0.25">
      <c r="A35" s="132" t="s">
        <v>473</v>
      </c>
      <c r="B35" t="s">
        <v>664</v>
      </c>
      <c r="D35" t="s">
        <v>665</v>
      </c>
      <c r="E35" t="s">
        <v>666</v>
      </c>
      <c r="G35" t="s">
        <v>667</v>
      </c>
      <c r="I35" t="s">
        <v>668</v>
      </c>
      <c r="L35" t="s">
        <v>669</v>
      </c>
      <c r="M35" t="s">
        <v>670</v>
      </c>
      <c r="AD35" s="144"/>
    </row>
    <row r="36" spans="1:30" x14ac:dyDescent="0.25">
      <c r="A36" s="133" t="s">
        <v>472</v>
      </c>
      <c r="B36" s="147" t="s">
        <v>1074</v>
      </c>
      <c r="C36" s="147"/>
      <c r="D36" s="147" t="str">
        <f>CONCATENATE(D30,MsgPINDup)</f>
        <v>PIN of Insurance Company can not be same as  Taxpayer's PIN.</v>
      </c>
      <c r="E36" s="147" t="str">
        <f>MsgAlpNumSpl</f>
        <v>Please enter alphanumeric value. Only Special characters like (space , . / - :) are allowed.</v>
      </c>
      <c r="F36" s="147"/>
      <c r="G36" s="147" t="str">
        <f>MsgAlpNumSpl</f>
        <v>Please enter alphanumeric value. Only Special characters like (space , . / - :) are allowed.</v>
      </c>
      <c r="H36" s="147"/>
      <c r="I36" s="147" t="str">
        <f>MsgNum</f>
        <v>Please enter numeric value only.</v>
      </c>
      <c r="J36" s="147" t="str">
        <f>CONCATENATE(J30,MsgDateFrmt)</f>
        <v>Commencement Date in proper format(dd/mm/yyyy).</v>
      </c>
      <c r="K36" s="147" t="str">
        <f>CONCATENATE(K30,MsgDateFrmt)</f>
        <v>Maturity Date in proper format(dd/mm/yyyy).</v>
      </c>
      <c r="L36" s="147" t="str">
        <f>MsgNum</f>
        <v>Please enter numeric value only.</v>
      </c>
      <c r="M36" s="147" t="str">
        <f>MsgNum</f>
        <v>Please enter numeric value only.</v>
      </c>
      <c r="N36" s="147" t="str">
        <f>CONCATENATE(N30,MsgDateFrmt)</f>
        <v>Date of payment of premium in proper format(dd/mm/yyyy).</v>
      </c>
      <c r="O36" s="147"/>
      <c r="P36" s="147"/>
      <c r="Q36" s="147"/>
      <c r="R36" s="147"/>
      <c r="S36" s="147"/>
      <c r="T36" s="147"/>
      <c r="U36" s="147"/>
      <c r="V36" s="147"/>
      <c r="W36" s="147"/>
      <c r="X36" s="147"/>
      <c r="Y36" s="147"/>
      <c r="Z36" s="147"/>
      <c r="AA36" s="147"/>
      <c r="AB36" s="147"/>
      <c r="AC36" s="147"/>
      <c r="AD36" s="145"/>
    </row>
    <row r="38" spans="1:30" s="27" customFormat="1" ht="39.75" customHeight="1" x14ac:dyDescent="0.25">
      <c r="A38" s="164" t="s">
        <v>671</v>
      </c>
      <c r="B38" s="161" t="s">
        <v>406</v>
      </c>
      <c r="C38" s="161" t="s">
        <v>407</v>
      </c>
      <c r="D38" s="161" t="s">
        <v>408</v>
      </c>
      <c r="E38" s="161" t="s">
        <v>409</v>
      </c>
      <c r="F38" s="161" t="s">
        <v>44</v>
      </c>
      <c r="G38" s="161" t="s">
        <v>672</v>
      </c>
      <c r="H38" s="161" t="s">
        <v>673</v>
      </c>
      <c r="I38" s="161" t="s">
        <v>674</v>
      </c>
      <c r="J38" s="161" t="s">
        <v>675</v>
      </c>
      <c r="K38" s="165"/>
      <c r="L38" s="165"/>
      <c r="M38" s="165"/>
      <c r="N38" s="165"/>
      <c r="O38" s="165"/>
      <c r="P38" s="165"/>
      <c r="Q38" s="165"/>
      <c r="R38" s="165"/>
      <c r="S38" s="165"/>
      <c r="T38" s="165"/>
      <c r="U38" s="165"/>
      <c r="V38" s="165"/>
      <c r="W38" s="165"/>
      <c r="X38" s="165"/>
      <c r="Y38" s="165"/>
      <c r="Z38" s="165"/>
      <c r="AA38" s="165"/>
      <c r="AB38" s="165"/>
      <c r="AC38" s="165"/>
      <c r="AD38" s="162" t="s">
        <v>676</v>
      </c>
    </row>
    <row r="39" spans="1:30" x14ac:dyDescent="0.25">
      <c r="A39" s="132" t="s">
        <v>470</v>
      </c>
      <c r="B39" t="s">
        <v>273</v>
      </c>
      <c r="C39" t="s">
        <v>273</v>
      </c>
      <c r="D39" t="s">
        <v>273</v>
      </c>
      <c r="E39" t="s">
        <v>273</v>
      </c>
      <c r="F39" t="s">
        <v>273</v>
      </c>
      <c r="G39" t="s">
        <v>273</v>
      </c>
      <c r="H39" t="s">
        <v>273</v>
      </c>
      <c r="I39" t="s">
        <v>273</v>
      </c>
      <c r="J39" t="s">
        <v>273</v>
      </c>
      <c r="AD39" s="144"/>
    </row>
    <row r="40" spans="1:30" x14ac:dyDescent="0.25">
      <c r="A40" s="132" t="s">
        <v>469</v>
      </c>
      <c r="AD40" s="144"/>
    </row>
    <row r="41" spans="1:30" x14ac:dyDescent="0.25">
      <c r="A41" s="132" t="s">
        <v>471</v>
      </c>
      <c r="B41" t="s">
        <v>677</v>
      </c>
      <c r="C41" t="s">
        <v>678</v>
      </c>
      <c r="D41" t="s">
        <v>679</v>
      </c>
      <c r="E41" t="s">
        <v>680</v>
      </c>
      <c r="F41" t="s">
        <v>681</v>
      </c>
      <c r="G41" t="s">
        <v>682</v>
      </c>
      <c r="H41" t="s">
        <v>683</v>
      </c>
      <c r="I41" t="s">
        <v>684</v>
      </c>
      <c r="J41" t="s">
        <v>685</v>
      </c>
      <c r="AD41" s="144"/>
    </row>
    <row r="42" spans="1:30" x14ac:dyDescent="0.25">
      <c r="A42" s="132" t="s">
        <v>472</v>
      </c>
      <c r="B42" t="str">
        <f t="shared" ref="B42:J42" si="9">CONCATENATE(B38,MsgMandat)</f>
        <v>PIN of Employee is Mandatory field.</v>
      </c>
      <c r="C42" t="str">
        <f t="shared" si="9"/>
        <v>Name of Employee is Mandatory field.</v>
      </c>
      <c r="D42" t="str">
        <f t="shared" si="9"/>
        <v>Employment Start Date is Mandatory field.</v>
      </c>
      <c r="E42" t="str">
        <f t="shared" si="9"/>
        <v>Employment End Date is Mandatory field.</v>
      </c>
      <c r="F42" t="str">
        <f t="shared" si="9"/>
        <v>Lump Sum Payment Due Year is Mandatory field.</v>
      </c>
      <c r="G42" t="str">
        <f t="shared" si="9"/>
        <v>Lump Sum Payment Paid Year is Mandatory field.</v>
      </c>
      <c r="H42" t="str">
        <f t="shared" si="9"/>
        <v>Amount of Gross Lump Sum Payment is Mandatory field.</v>
      </c>
      <c r="I42" t="str">
        <f t="shared" si="9"/>
        <v>Emoluments of Lump Sum Payment Due Year/ Emoluments of Lump Sum Payment Due Month is Mandatory field.</v>
      </c>
      <c r="J42" t="str">
        <f t="shared" si="9"/>
        <v>PAYE Paid in Lump Sum Payment Due Year/ Lump Sum Payment Due Month is Mandatory field.</v>
      </c>
      <c r="AD42" s="144"/>
    </row>
    <row r="43" spans="1:30" x14ac:dyDescent="0.25">
      <c r="A43" s="132" t="s">
        <v>473</v>
      </c>
      <c r="B43" t="s">
        <v>686</v>
      </c>
      <c r="C43" t="s">
        <v>687</v>
      </c>
      <c r="D43" t="s">
        <v>1118</v>
      </c>
      <c r="E43" t="s">
        <v>1119</v>
      </c>
      <c r="F43" t="s">
        <v>688</v>
      </c>
      <c r="G43" t="s">
        <v>689</v>
      </c>
      <c r="H43" t="s">
        <v>690</v>
      </c>
      <c r="I43" t="s">
        <v>691</v>
      </c>
      <c r="J43" t="s">
        <v>692</v>
      </c>
      <c r="AD43" s="144"/>
    </row>
    <row r="44" spans="1:30" x14ac:dyDescent="0.25">
      <c r="A44" t="s">
        <v>472</v>
      </c>
      <c r="B44" t="s">
        <v>1074</v>
      </c>
      <c r="C44" t="str">
        <f>MsgAlpNumSpl</f>
        <v>Please enter alphanumeric value. Only Special characters like (space , . / - :) are allowed.</v>
      </c>
      <c r="D44" t="s">
        <v>1120</v>
      </c>
      <c r="E44" t="s">
        <v>1121</v>
      </c>
      <c r="F44" t="str">
        <f>MsgNum</f>
        <v>Please enter numeric value only.</v>
      </c>
      <c r="G44" t="str">
        <f>MsgNum</f>
        <v>Please enter numeric value only.</v>
      </c>
      <c r="H44" t="str">
        <f>MsgNum</f>
        <v>Please enter numeric value only.</v>
      </c>
      <c r="I44" t="str">
        <f>MsgNum</f>
        <v>Please enter numeric value only.</v>
      </c>
      <c r="J44" t="str">
        <f>MsgNum</f>
        <v>Please enter numeric value only.</v>
      </c>
    </row>
    <row r="45" spans="1:30" x14ac:dyDescent="0.25">
      <c r="A45" s="132" t="s">
        <v>846</v>
      </c>
      <c r="F45" t="s">
        <v>1132</v>
      </c>
      <c r="G45" t="s">
        <v>1133</v>
      </c>
    </row>
    <row r="46" spans="1:30" x14ac:dyDescent="0.25">
      <c r="A46" s="132" t="s">
        <v>472</v>
      </c>
      <c r="F46" t="s">
        <v>1134</v>
      </c>
      <c r="G46" t="s">
        <v>1135</v>
      </c>
    </row>
    <row r="47" spans="1:30" x14ac:dyDescent="0.25">
      <c r="A47" s="132" t="s">
        <v>1131</v>
      </c>
    </row>
    <row r="48" spans="1:30" x14ac:dyDescent="0.25">
      <c r="A48" s="132" t="s">
        <v>472</v>
      </c>
    </row>
    <row r="49" spans="1:30" x14ac:dyDescent="0.25">
      <c r="A49" s="132"/>
    </row>
    <row r="50" spans="1:30" ht="30" x14ac:dyDescent="0.25">
      <c r="A50" s="159" t="s">
        <v>88</v>
      </c>
      <c r="B50" s="160" t="s">
        <v>406</v>
      </c>
      <c r="C50" s="160" t="s">
        <v>407</v>
      </c>
      <c r="D50" s="160" t="s">
        <v>693</v>
      </c>
      <c r="E50" s="160" t="s">
        <v>694</v>
      </c>
      <c r="F50" s="161" t="s">
        <v>508</v>
      </c>
      <c r="G50" s="160" t="s">
        <v>509</v>
      </c>
      <c r="H50" s="160" t="s">
        <v>444</v>
      </c>
      <c r="I50" s="160" t="s">
        <v>445</v>
      </c>
      <c r="J50" s="160" t="s">
        <v>446</v>
      </c>
      <c r="K50" s="160" t="s">
        <v>447</v>
      </c>
      <c r="L50" s="160" t="s">
        <v>448</v>
      </c>
      <c r="M50" s="160" t="s">
        <v>449</v>
      </c>
      <c r="N50" s="160" t="s">
        <v>450</v>
      </c>
      <c r="O50" s="160" t="s">
        <v>451</v>
      </c>
      <c r="P50" s="160" t="s">
        <v>510</v>
      </c>
      <c r="Q50" s="160" t="s">
        <v>511</v>
      </c>
      <c r="R50" s="160" t="s">
        <v>512</v>
      </c>
      <c r="S50" s="160" t="s">
        <v>513</v>
      </c>
      <c r="T50" s="160" t="s">
        <v>514</v>
      </c>
      <c r="U50" s="160" t="s">
        <v>515</v>
      </c>
      <c r="V50" s="161" t="s">
        <v>516</v>
      </c>
      <c r="W50" s="161" t="s">
        <v>517</v>
      </c>
      <c r="X50" s="160" t="s">
        <v>518</v>
      </c>
      <c r="Y50" s="161" t="s">
        <v>695</v>
      </c>
      <c r="Z50" s="161" t="s">
        <v>519</v>
      </c>
      <c r="AA50" s="161" t="s">
        <v>520</v>
      </c>
      <c r="AB50" s="161" t="s">
        <v>619</v>
      </c>
      <c r="AC50" s="146"/>
      <c r="AD50" s="143" t="s">
        <v>696</v>
      </c>
    </row>
    <row r="51" spans="1:30" x14ac:dyDescent="0.25">
      <c r="A51" s="132" t="s">
        <v>470</v>
      </c>
      <c r="B51" t="s">
        <v>273</v>
      </c>
      <c r="C51" t="s">
        <v>273</v>
      </c>
      <c r="D51" t="s">
        <v>273</v>
      </c>
      <c r="E51" t="s">
        <v>273</v>
      </c>
      <c r="F51" s="27" t="s">
        <v>273</v>
      </c>
      <c r="G51" t="s">
        <v>273</v>
      </c>
      <c r="H51" t="s">
        <v>273</v>
      </c>
      <c r="I51" t="s">
        <v>273</v>
      </c>
      <c r="J51" t="s">
        <v>273</v>
      </c>
      <c r="K51" t="s">
        <v>273</v>
      </c>
      <c r="L51" t="s">
        <v>273</v>
      </c>
      <c r="M51" t="s">
        <v>273</v>
      </c>
      <c r="N51" t="s">
        <v>273</v>
      </c>
      <c r="O51" t="s">
        <v>273</v>
      </c>
      <c r="P51" t="s">
        <v>273</v>
      </c>
      <c r="Q51" t="s">
        <v>273</v>
      </c>
      <c r="R51" t="s">
        <v>273</v>
      </c>
      <c r="S51" t="s">
        <v>273</v>
      </c>
      <c r="T51" t="s">
        <v>273</v>
      </c>
      <c r="U51" t="s">
        <v>273</v>
      </c>
      <c r="V51" s="27" t="s">
        <v>273</v>
      </c>
      <c r="W51" s="27" t="s">
        <v>273</v>
      </c>
      <c r="X51" t="s">
        <v>273</v>
      </c>
      <c r="Y51" s="27" t="s">
        <v>273</v>
      </c>
      <c r="Z51" s="27" t="s">
        <v>273</v>
      </c>
      <c r="AA51" s="27" t="s">
        <v>335</v>
      </c>
      <c r="AB51" t="s">
        <v>273</v>
      </c>
      <c r="AD51" s="144"/>
    </row>
    <row r="52" spans="1:30" x14ac:dyDescent="0.25">
      <c r="A52" s="132" t="s">
        <v>469</v>
      </c>
      <c r="F52" s="27"/>
      <c r="V52" s="27"/>
      <c r="W52" s="27"/>
      <c r="Y52" s="27"/>
      <c r="Z52" s="27"/>
      <c r="AA52" s="27"/>
      <c r="AD52" s="144"/>
    </row>
    <row r="53" spans="1:30" ht="60" x14ac:dyDescent="0.25">
      <c r="A53" s="132" t="s">
        <v>471</v>
      </c>
      <c r="B53" t="s">
        <v>697</v>
      </c>
      <c r="C53" t="s">
        <v>698</v>
      </c>
      <c r="D53" t="s">
        <v>699</v>
      </c>
      <c r="E53" t="s">
        <v>700</v>
      </c>
      <c r="F53" s="27" t="s">
        <v>701</v>
      </c>
      <c r="G53" t="s">
        <v>702</v>
      </c>
      <c r="H53" t="s">
        <v>703</v>
      </c>
      <c r="I53" t="s">
        <v>704</v>
      </c>
      <c r="J53" t="s">
        <v>705</v>
      </c>
      <c r="K53" t="s">
        <v>706</v>
      </c>
      <c r="L53" t="s">
        <v>707</v>
      </c>
      <c r="M53" t="s">
        <v>708</v>
      </c>
      <c r="N53" t="s">
        <v>709</v>
      </c>
      <c r="O53" t="s">
        <v>710</v>
      </c>
      <c r="P53" t="s">
        <v>711</v>
      </c>
      <c r="Q53" t="s">
        <v>712</v>
      </c>
      <c r="R53" t="s">
        <v>713</v>
      </c>
      <c r="S53" t="s">
        <v>714</v>
      </c>
      <c r="T53" t="s">
        <v>715</v>
      </c>
      <c r="U53" t="s">
        <v>716</v>
      </c>
      <c r="V53" s="27" t="s">
        <v>717</v>
      </c>
      <c r="W53" s="27" t="s">
        <v>718</v>
      </c>
      <c r="X53" t="s">
        <v>719</v>
      </c>
      <c r="Y53" s="27" t="s">
        <v>720</v>
      </c>
      <c r="Z53" s="27" t="s">
        <v>721</v>
      </c>
      <c r="AA53" s="27" t="s">
        <v>722</v>
      </c>
      <c r="AB53" t="s">
        <v>1072</v>
      </c>
      <c r="AD53" s="144"/>
    </row>
    <row r="54" spans="1:30" ht="45" x14ac:dyDescent="0.25">
      <c r="A54" s="132" t="s">
        <v>472</v>
      </c>
      <c r="B54" t="str">
        <f t="shared" ref="B54:P54" si="10">CONCATENATE(B50,MsgMandat)</f>
        <v>PIN of Employee is Mandatory field.</v>
      </c>
      <c r="C54" t="str">
        <f t="shared" si="10"/>
        <v>Name of Employee is Mandatory field.</v>
      </c>
      <c r="D54" t="str">
        <f t="shared" si="10"/>
        <v>Arrears for the Month is Mandatory field.</v>
      </c>
      <c r="E54" s="27" t="str">
        <f t="shared" si="10"/>
        <v>Arrears Year is Mandatory field.</v>
      </c>
      <c r="F54" s="27" t="str">
        <f t="shared" si="10"/>
        <v>Residential Status is Mandatory field.</v>
      </c>
      <c r="G54" t="str">
        <f t="shared" si="10"/>
        <v>Type of Employee is Mandatory field.</v>
      </c>
      <c r="H54" t="str">
        <f t="shared" si="10"/>
        <v>Basic Salary is Mandatory field.</v>
      </c>
      <c r="I54" t="str">
        <f t="shared" si="10"/>
        <v>Housing Allowance is Mandatory field.</v>
      </c>
      <c r="J54" t="str">
        <f t="shared" si="10"/>
        <v>Transport Allowance is Mandatory field.</v>
      </c>
      <c r="K54" t="str">
        <f t="shared" si="10"/>
        <v>Leave Pay is Mandatory field.</v>
      </c>
      <c r="L54" t="str">
        <f t="shared" si="10"/>
        <v>Over Time Allowance is Mandatory field.</v>
      </c>
      <c r="M54" t="str">
        <f t="shared" si="10"/>
        <v>Director's Fee is Mandatory field.</v>
      </c>
      <c r="N54" t="str">
        <f t="shared" si="10"/>
        <v>Lump Sum Payment if any is Mandatory field.</v>
      </c>
      <c r="O54" t="str">
        <f t="shared" si="10"/>
        <v>Other Allowance is Mandatory field.</v>
      </c>
      <c r="P54" t="str">
        <f t="shared" si="10"/>
        <v>Other Non cash Benefits is Mandatory field.</v>
      </c>
      <c r="Q54" t="str">
        <f t="shared" ref="Q54:W54" si="11">CONCATENATE(Q50,MsgMandat)</f>
        <v>Global Income (In case of non full time service Director) is Mandatory field.</v>
      </c>
      <c r="R54" t="str">
        <f t="shared" si="11"/>
        <v>Type of Housing is Mandatory field.</v>
      </c>
      <c r="S54" t="str">
        <f t="shared" si="11"/>
        <v>Rent of House is Mandatory field.</v>
      </c>
      <c r="T54" t="str">
        <f t="shared" si="11"/>
        <v>Rent Recovered from Employee is Mandatory field.</v>
      </c>
      <c r="U54" s="27" t="str">
        <f t="shared" si="11"/>
        <v>Actual Contribution is Mandatory field.</v>
      </c>
      <c r="V54" s="27" t="str">
        <f t="shared" si="11"/>
        <v>Mortgage Interest is Mandatory field.</v>
      </c>
      <c r="W54" s="27" t="str">
        <f t="shared" si="11"/>
        <v>Deposit on Home Ownership Saving Plan is Mandatory field.</v>
      </c>
      <c r="X54" s="27" t="str">
        <f>CONCATENATE(X50,MsgMandat)</f>
        <v>Monthly Personal Relief is Mandatory field.</v>
      </c>
      <c r="Y54" s="27" t="str">
        <f>CONCATENATE(Y50,MsgMandat)</f>
        <v>Amount of PAYE Already Paid  is Mandatory field.</v>
      </c>
      <c r="Z54" s="27" t="str">
        <f>CONCATENATE(Z50,MsgMandat)</f>
        <v>Self Assessed PAYE Tax is Mandatory field.</v>
      </c>
      <c r="AA54" s="27" t="str">
        <f>CONCATENATE(AA50,MsgMandat)</f>
        <v>Amount of Insurance Relief is Mandatory field.</v>
      </c>
      <c r="AB54" t="s">
        <v>1070</v>
      </c>
      <c r="AD54" s="144"/>
    </row>
    <row r="55" spans="1:30" ht="60" x14ac:dyDescent="0.25">
      <c r="A55" s="132" t="s">
        <v>473</v>
      </c>
      <c r="B55" t="s">
        <v>723</v>
      </c>
      <c r="C55" t="s">
        <v>724</v>
      </c>
      <c r="D55" t="s">
        <v>725</v>
      </c>
      <c r="H55" t="s">
        <v>726</v>
      </c>
      <c r="I55" t="s">
        <v>727</v>
      </c>
      <c r="J55" t="s">
        <v>728</v>
      </c>
      <c r="K55" t="s">
        <v>729</v>
      </c>
      <c r="L55" t="s">
        <v>730</v>
      </c>
      <c r="M55" t="s">
        <v>731</v>
      </c>
      <c r="N55" t="s">
        <v>732</v>
      </c>
      <c r="O55" t="s">
        <v>733</v>
      </c>
      <c r="P55" t="s">
        <v>734</v>
      </c>
      <c r="Q55" t="s">
        <v>735</v>
      </c>
      <c r="S55" t="s">
        <v>736</v>
      </c>
      <c r="T55" t="s">
        <v>737</v>
      </c>
      <c r="U55" t="s">
        <v>738</v>
      </c>
      <c r="V55" s="27" t="s">
        <v>739</v>
      </c>
      <c r="W55" s="27" t="s">
        <v>740</v>
      </c>
      <c r="X55" t="s">
        <v>741</v>
      </c>
      <c r="Y55" s="27" t="s">
        <v>742</v>
      </c>
      <c r="Z55" s="27" t="s">
        <v>743</v>
      </c>
      <c r="AA55" s="27" t="s">
        <v>744</v>
      </c>
      <c r="AD55" s="144"/>
    </row>
    <row r="56" spans="1:30" ht="45" x14ac:dyDescent="0.25">
      <c r="A56" s="133" t="s">
        <v>472</v>
      </c>
      <c r="B56" s="147" t="s">
        <v>1074</v>
      </c>
      <c r="C56" s="163"/>
      <c r="D56" s="163" t="s">
        <v>745</v>
      </c>
      <c r="E56" s="163"/>
      <c r="F56" s="147"/>
      <c r="G56" s="147"/>
      <c r="H56" s="147" t="str">
        <f t="shared" ref="H56:Q56" si="12">MsgNum</f>
        <v>Please enter numeric value only.</v>
      </c>
      <c r="I56" s="147" t="str">
        <f t="shared" si="12"/>
        <v>Please enter numeric value only.</v>
      </c>
      <c r="J56" s="147" t="str">
        <f t="shared" si="12"/>
        <v>Please enter numeric value only.</v>
      </c>
      <c r="K56" s="147" t="str">
        <f t="shared" si="12"/>
        <v>Please enter numeric value only.</v>
      </c>
      <c r="L56" s="147" t="str">
        <f t="shared" si="12"/>
        <v>Please enter numeric value only.</v>
      </c>
      <c r="M56" s="147" t="str">
        <f t="shared" si="12"/>
        <v>Please enter numeric value only.</v>
      </c>
      <c r="N56" s="147" t="str">
        <f t="shared" si="12"/>
        <v>Please enter numeric value only.</v>
      </c>
      <c r="O56" s="147" t="str">
        <f t="shared" si="12"/>
        <v>Please enter numeric value only.</v>
      </c>
      <c r="P56" s="147" t="str">
        <f t="shared" si="12"/>
        <v>Please enter numeric value only.</v>
      </c>
      <c r="Q56" s="147" t="str">
        <f t="shared" si="12"/>
        <v>Please enter numeric value only.</v>
      </c>
      <c r="R56" s="147"/>
      <c r="S56" s="147" t="str">
        <f t="shared" ref="S56:Z56" si="13">MsgNum</f>
        <v>Please enter numeric value only.</v>
      </c>
      <c r="T56" s="147" t="str">
        <f t="shared" si="13"/>
        <v>Please enter numeric value only.</v>
      </c>
      <c r="U56" s="147" t="str">
        <f t="shared" si="13"/>
        <v>Please enter numeric value only.</v>
      </c>
      <c r="V56" s="163" t="str">
        <f t="shared" si="13"/>
        <v>Please enter numeric value only.</v>
      </c>
      <c r="W56" s="163" t="str">
        <f t="shared" si="13"/>
        <v>Please enter numeric value only.</v>
      </c>
      <c r="X56" s="147" t="str">
        <f>MsgNum</f>
        <v>Please enter numeric value only.</v>
      </c>
      <c r="Y56" s="163" t="str">
        <f t="shared" si="13"/>
        <v>Please enter numeric value only.</v>
      </c>
      <c r="Z56" s="163" t="str">
        <f t="shared" si="13"/>
        <v>Please enter numeric value only.</v>
      </c>
      <c r="AA56" s="163" t="str">
        <f>MsgNum</f>
        <v>Please enter numeric value only.</v>
      </c>
      <c r="AB56" s="147"/>
      <c r="AC56" s="147"/>
      <c r="AD56" s="145"/>
    </row>
    <row r="57" spans="1:30" x14ac:dyDescent="0.25">
      <c r="A57" s="132" t="s">
        <v>846</v>
      </c>
      <c r="V57" s="27"/>
      <c r="W57" s="27"/>
      <c r="X57" s="27"/>
      <c r="Y57" s="27"/>
      <c r="Z57" s="27"/>
      <c r="AA57" s="27"/>
      <c r="AD57" s="144"/>
    </row>
    <row r="58" spans="1:30" ht="45" x14ac:dyDescent="0.25">
      <c r="A58" s="133" t="s">
        <v>472</v>
      </c>
      <c r="B58" s="147"/>
      <c r="C58" s="163"/>
      <c r="D58" s="163"/>
      <c r="E58" s="163"/>
      <c r="F58" s="147"/>
      <c r="G58" s="147"/>
      <c r="H58" s="147"/>
      <c r="I58" s="147"/>
      <c r="J58" s="147"/>
      <c r="K58" s="147"/>
      <c r="L58" s="147"/>
      <c r="M58" s="147"/>
      <c r="N58" s="147"/>
      <c r="O58" s="147"/>
      <c r="P58" s="147"/>
      <c r="Q58" s="147"/>
      <c r="R58" s="147"/>
      <c r="S58" s="147"/>
      <c r="T58" s="147"/>
      <c r="U58" s="147"/>
      <c r="V58" s="163" t="s">
        <v>1137</v>
      </c>
      <c r="W58" s="163" t="s">
        <v>1138</v>
      </c>
      <c r="X58" s="163" t="s">
        <v>1139</v>
      </c>
      <c r="Y58" s="163"/>
      <c r="Z58" s="163"/>
      <c r="AA58" s="163"/>
      <c r="AB58" s="147"/>
      <c r="AC58" s="147"/>
      <c r="AD58" s="145"/>
    </row>
    <row r="60" spans="1:30" ht="30" x14ac:dyDescent="0.25">
      <c r="A60" s="159" t="s">
        <v>95</v>
      </c>
      <c r="B60" s="160" t="s">
        <v>406</v>
      </c>
      <c r="C60" s="160" t="s">
        <v>407</v>
      </c>
      <c r="D60" s="160" t="s">
        <v>693</v>
      </c>
      <c r="E60" s="160" t="s">
        <v>694</v>
      </c>
      <c r="F60" s="161" t="s">
        <v>508</v>
      </c>
      <c r="G60" s="160" t="s">
        <v>509</v>
      </c>
      <c r="H60" s="160" t="s">
        <v>565</v>
      </c>
      <c r="I60" s="160" t="s">
        <v>444</v>
      </c>
      <c r="J60" s="160" t="s">
        <v>445</v>
      </c>
      <c r="K60" s="160" t="s">
        <v>446</v>
      </c>
      <c r="L60" s="160" t="s">
        <v>447</v>
      </c>
      <c r="M60" s="160" t="s">
        <v>448</v>
      </c>
      <c r="N60" s="160" t="s">
        <v>449</v>
      </c>
      <c r="O60" s="160" t="s">
        <v>450</v>
      </c>
      <c r="P60" s="160" t="s">
        <v>451</v>
      </c>
      <c r="Q60" s="160" t="s">
        <v>510</v>
      </c>
      <c r="R60" s="160" t="s">
        <v>511</v>
      </c>
      <c r="S60" s="160" t="s">
        <v>512</v>
      </c>
      <c r="T60" s="160" t="s">
        <v>513</v>
      </c>
      <c r="U60" s="160" t="s">
        <v>514</v>
      </c>
      <c r="V60" s="160" t="s">
        <v>515</v>
      </c>
      <c r="W60" s="161" t="s">
        <v>516</v>
      </c>
      <c r="X60" s="161" t="s">
        <v>517</v>
      </c>
      <c r="Y60" s="160" t="s">
        <v>518</v>
      </c>
      <c r="Z60" s="161" t="s">
        <v>695</v>
      </c>
      <c r="AA60" s="161" t="s">
        <v>519</v>
      </c>
      <c r="AB60" s="161" t="s">
        <v>520</v>
      </c>
      <c r="AC60" s="161" t="s">
        <v>619</v>
      </c>
      <c r="AD60" s="143" t="s">
        <v>746</v>
      </c>
    </row>
    <row r="61" spans="1:30" x14ac:dyDescent="0.25">
      <c r="A61" s="132" t="s">
        <v>470</v>
      </c>
      <c r="B61" t="s">
        <v>273</v>
      </c>
      <c r="C61" t="s">
        <v>273</v>
      </c>
      <c r="D61" t="s">
        <v>273</v>
      </c>
      <c r="E61" t="s">
        <v>273</v>
      </c>
      <c r="F61" s="27" t="s">
        <v>273</v>
      </c>
      <c r="G61" t="s">
        <v>273</v>
      </c>
      <c r="H61" t="s">
        <v>273</v>
      </c>
      <c r="I61" t="s">
        <v>273</v>
      </c>
      <c r="J61" t="s">
        <v>273</v>
      </c>
      <c r="K61" t="s">
        <v>273</v>
      </c>
      <c r="L61" t="s">
        <v>273</v>
      </c>
      <c r="M61" t="s">
        <v>273</v>
      </c>
      <c r="N61" t="s">
        <v>273</v>
      </c>
      <c r="O61" t="s">
        <v>273</v>
      </c>
      <c r="P61" t="s">
        <v>273</v>
      </c>
      <c r="Q61" t="s">
        <v>273</v>
      </c>
      <c r="R61" t="s">
        <v>273</v>
      </c>
      <c r="S61" t="s">
        <v>273</v>
      </c>
      <c r="T61" t="s">
        <v>273</v>
      </c>
      <c r="U61" t="s">
        <v>273</v>
      </c>
      <c r="V61" t="s">
        <v>273</v>
      </c>
      <c r="W61" s="27" t="s">
        <v>273</v>
      </c>
      <c r="X61" s="27" t="s">
        <v>273</v>
      </c>
      <c r="Y61" t="s">
        <v>273</v>
      </c>
      <c r="Z61" s="27" t="s">
        <v>273</v>
      </c>
      <c r="AA61" s="27" t="s">
        <v>273</v>
      </c>
      <c r="AB61" s="27" t="s">
        <v>335</v>
      </c>
      <c r="AC61" s="27" t="s">
        <v>273</v>
      </c>
      <c r="AD61" s="144"/>
    </row>
    <row r="62" spans="1:30" x14ac:dyDescent="0.25">
      <c r="A62" s="132" t="s">
        <v>469</v>
      </c>
      <c r="F62" s="27"/>
      <c r="W62" s="27"/>
      <c r="X62" s="27"/>
      <c r="Z62" s="27"/>
      <c r="AA62" s="27"/>
      <c r="AB62" s="27"/>
      <c r="AC62" s="27"/>
      <c r="AD62" s="144"/>
    </row>
    <row r="63" spans="1:30" ht="60" x14ac:dyDescent="0.25">
      <c r="A63" s="132" t="s">
        <v>471</v>
      </c>
      <c r="B63" t="s">
        <v>747</v>
      </c>
      <c r="C63" t="s">
        <v>748</v>
      </c>
      <c r="D63" t="s">
        <v>749</v>
      </c>
      <c r="E63" t="s">
        <v>750</v>
      </c>
      <c r="F63" s="27" t="s">
        <v>751</v>
      </c>
      <c r="G63" t="s">
        <v>752</v>
      </c>
      <c r="H63" t="s">
        <v>753</v>
      </c>
      <c r="I63" t="s">
        <v>754</v>
      </c>
      <c r="J63" t="s">
        <v>755</v>
      </c>
      <c r="K63" t="s">
        <v>756</v>
      </c>
      <c r="L63" t="s">
        <v>757</v>
      </c>
      <c r="M63" t="s">
        <v>758</v>
      </c>
      <c r="N63" t="s">
        <v>759</v>
      </c>
      <c r="O63" t="s">
        <v>760</v>
      </c>
      <c r="P63" t="s">
        <v>761</v>
      </c>
      <c r="Q63" t="s">
        <v>762</v>
      </c>
      <c r="R63" t="s">
        <v>763</v>
      </c>
      <c r="S63" t="s">
        <v>764</v>
      </c>
      <c r="T63" t="s">
        <v>765</v>
      </c>
      <c r="U63" t="s">
        <v>766</v>
      </c>
      <c r="V63" t="s">
        <v>767</v>
      </c>
      <c r="W63" s="27" t="s">
        <v>768</v>
      </c>
      <c r="X63" s="27" t="s">
        <v>769</v>
      </c>
      <c r="Y63" t="s">
        <v>770</v>
      </c>
      <c r="Z63" s="27" t="s">
        <v>771</v>
      </c>
      <c r="AA63" s="27" t="s">
        <v>772</v>
      </c>
      <c r="AB63" s="27" t="s">
        <v>773</v>
      </c>
      <c r="AC63" s="27" t="s">
        <v>1073</v>
      </c>
      <c r="AD63" s="144"/>
    </row>
    <row r="64" spans="1:30" ht="45" x14ac:dyDescent="0.25">
      <c r="A64" s="132" t="s">
        <v>472</v>
      </c>
      <c r="B64" t="str">
        <f t="shared" ref="B64:Q64" si="14">CONCATENATE(B60,MsgMandat)</f>
        <v>PIN of Employee is Mandatory field.</v>
      </c>
      <c r="C64" t="str">
        <f t="shared" si="14"/>
        <v>Name of Employee is Mandatory field.</v>
      </c>
      <c r="D64" t="str">
        <f t="shared" si="14"/>
        <v>Arrears for the Month is Mandatory field.</v>
      </c>
      <c r="E64" t="str">
        <f t="shared" si="14"/>
        <v>Arrears Year is Mandatory field.</v>
      </c>
      <c r="F64" s="27" t="str">
        <f t="shared" si="14"/>
        <v>Residential Status is Mandatory field.</v>
      </c>
      <c r="G64" t="str">
        <f t="shared" si="14"/>
        <v>Type of Employee is Mandatory field.</v>
      </c>
      <c r="H64" t="str">
        <f t="shared" si="14"/>
        <v>Exemption Certificate Number is Mandatory field.</v>
      </c>
      <c r="I64" t="str">
        <f t="shared" si="14"/>
        <v>Basic Salary is Mandatory field.</v>
      </c>
      <c r="J64" t="str">
        <f t="shared" si="14"/>
        <v>Housing Allowance is Mandatory field.</v>
      </c>
      <c r="K64" t="str">
        <f t="shared" si="14"/>
        <v>Transport Allowance is Mandatory field.</v>
      </c>
      <c r="L64" t="str">
        <f t="shared" si="14"/>
        <v>Leave Pay is Mandatory field.</v>
      </c>
      <c r="M64" t="str">
        <f t="shared" si="14"/>
        <v>Over Time Allowance is Mandatory field.</v>
      </c>
      <c r="N64" t="str">
        <f t="shared" si="14"/>
        <v>Director's Fee is Mandatory field.</v>
      </c>
      <c r="O64" t="str">
        <f t="shared" si="14"/>
        <v>Lump Sum Payment if any is Mandatory field.</v>
      </c>
      <c r="P64" t="str">
        <f t="shared" si="14"/>
        <v>Other Allowance is Mandatory field.</v>
      </c>
      <c r="Q64" t="str">
        <f t="shared" si="14"/>
        <v>Other Non cash Benefits is Mandatory field.</v>
      </c>
      <c r="R64" t="str">
        <f t="shared" ref="R64:X64" si="15">CONCATENATE(R60,MsgMandat)</f>
        <v>Global Income (In case of non full time service Director) is Mandatory field.</v>
      </c>
      <c r="S64" t="str">
        <f t="shared" si="15"/>
        <v>Type of Housing is Mandatory field.</v>
      </c>
      <c r="T64" t="str">
        <f t="shared" si="15"/>
        <v>Rent of House is Mandatory field.</v>
      </c>
      <c r="U64" t="str">
        <f t="shared" si="15"/>
        <v>Rent Recovered from Employee is Mandatory field.</v>
      </c>
      <c r="V64" s="27" t="str">
        <f t="shared" si="15"/>
        <v>Actual Contribution is Mandatory field.</v>
      </c>
      <c r="W64" s="27" t="str">
        <f t="shared" si="15"/>
        <v>Mortgage Interest is Mandatory field.</v>
      </c>
      <c r="X64" s="27" t="str">
        <f t="shared" si="15"/>
        <v>Deposit on Home Ownership Saving Plan is Mandatory field.</v>
      </c>
      <c r="Y64" s="27" t="str">
        <f>CONCATENATE(Y60,MsgMandat)</f>
        <v>Monthly Personal Relief is Mandatory field.</v>
      </c>
      <c r="Z64" s="27" t="str">
        <f>CONCATENATE(Z60,MsgMandat)</f>
        <v>Amount of PAYE Already Paid  is Mandatory field.</v>
      </c>
      <c r="AA64" s="27" t="str">
        <f>CONCATENATE(AA60,MsgMandat)</f>
        <v>Self Assessed PAYE Tax is Mandatory field.</v>
      </c>
      <c r="AB64" s="27" t="str">
        <f>CONCATENATE(AB60,MsgMandat)</f>
        <v>Amount of Insurance Relief is Mandatory field.</v>
      </c>
      <c r="AC64" s="27" t="s">
        <v>1070</v>
      </c>
      <c r="AD64" s="144"/>
    </row>
    <row r="65" spans="1:30" ht="60" x14ac:dyDescent="0.25">
      <c r="A65" s="132" t="s">
        <v>473</v>
      </c>
      <c r="B65" t="s">
        <v>774</v>
      </c>
      <c r="C65" t="s">
        <v>775</v>
      </c>
      <c r="D65" t="s">
        <v>776</v>
      </c>
      <c r="H65" t="s">
        <v>1141</v>
      </c>
      <c r="I65" t="s">
        <v>777</v>
      </c>
      <c r="J65" t="s">
        <v>778</v>
      </c>
      <c r="K65" t="s">
        <v>779</v>
      </c>
      <c r="L65" t="s">
        <v>780</v>
      </c>
      <c r="M65" t="s">
        <v>781</v>
      </c>
      <c r="N65" t="s">
        <v>782</v>
      </c>
      <c r="O65" t="s">
        <v>783</v>
      </c>
      <c r="P65" t="s">
        <v>784</v>
      </c>
      <c r="Q65" t="s">
        <v>785</v>
      </c>
      <c r="R65" t="s">
        <v>786</v>
      </c>
      <c r="T65" t="s">
        <v>787</v>
      </c>
      <c r="U65" t="s">
        <v>788</v>
      </c>
      <c r="V65" t="s">
        <v>789</v>
      </c>
      <c r="W65" s="27" t="s">
        <v>790</v>
      </c>
      <c r="X65" s="27" t="s">
        <v>791</v>
      </c>
      <c r="Y65" t="s">
        <v>792</v>
      </c>
      <c r="Z65" s="27" t="s">
        <v>793</v>
      </c>
      <c r="AA65" s="27" t="s">
        <v>794</v>
      </c>
      <c r="AB65" s="27" t="s">
        <v>795</v>
      </c>
      <c r="AC65" s="27"/>
      <c r="AD65" s="144"/>
    </row>
    <row r="66" spans="1:30" ht="45" x14ac:dyDescent="0.25">
      <c r="A66" s="133" t="s">
        <v>472</v>
      </c>
      <c r="B66" s="147" t="s">
        <v>1074</v>
      </c>
      <c r="C66" s="163" t="str">
        <f>MsgAlpNumSpl</f>
        <v>Please enter alphanumeric value. Only Special characters like (space , . / - :) are allowed.</v>
      </c>
      <c r="D66" s="147" t="s">
        <v>745</v>
      </c>
      <c r="E66" s="147"/>
      <c r="F66" s="147"/>
      <c r="G66" s="147"/>
      <c r="H66" s="147" t="s">
        <v>1142</v>
      </c>
      <c r="I66" s="147" t="str">
        <f t="shared" ref="I66:R66" si="16">MsgNum</f>
        <v>Please enter numeric value only.</v>
      </c>
      <c r="J66" s="147" t="str">
        <f t="shared" si="16"/>
        <v>Please enter numeric value only.</v>
      </c>
      <c r="K66" s="147" t="str">
        <f t="shared" si="16"/>
        <v>Please enter numeric value only.</v>
      </c>
      <c r="L66" s="147" t="str">
        <f t="shared" si="16"/>
        <v>Please enter numeric value only.</v>
      </c>
      <c r="M66" s="147" t="str">
        <f t="shared" si="16"/>
        <v>Please enter numeric value only.</v>
      </c>
      <c r="N66" s="147" t="str">
        <f t="shared" si="16"/>
        <v>Please enter numeric value only.</v>
      </c>
      <c r="O66" s="147" t="str">
        <f t="shared" si="16"/>
        <v>Please enter numeric value only.</v>
      </c>
      <c r="P66" s="147" t="str">
        <f t="shared" si="16"/>
        <v>Please enter numeric value only.</v>
      </c>
      <c r="Q66" s="147" t="str">
        <f t="shared" si="16"/>
        <v>Please enter numeric value only.</v>
      </c>
      <c r="R66" s="147" t="str">
        <f t="shared" si="16"/>
        <v>Please enter numeric value only.</v>
      </c>
      <c r="S66" s="147"/>
      <c r="T66" s="147" t="str">
        <f t="shared" ref="T66:AA66" si="17">MsgNum</f>
        <v>Please enter numeric value only.</v>
      </c>
      <c r="U66" s="147" t="str">
        <f t="shared" si="17"/>
        <v>Please enter numeric value only.</v>
      </c>
      <c r="V66" s="163" t="str">
        <f t="shared" si="17"/>
        <v>Please enter numeric value only.</v>
      </c>
      <c r="W66" s="163" t="str">
        <f t="shared" si="17"/>
        <v>Please enter numeric value only.</v>
      </c>
      <c r="X66" s="163" t="str">
        <f t="shared" si="17"/>
        <v>Please enter numeric value only.</v>
      </c>
      <c r="Y66" s="163" t="str">
        <f>MsgNum</f>
        <v>Please enter numeric value only.</v>
      </c>
      <c r="Z66" s="163" t="str">
        <f t="shared" si="17"/>
        <v>Please enter numeric value only.</v>
      </c>
      <c r="AA66" s="163" t="str">
        <f t="shared" si="17"/>
        <v>Please enter numeric value only.</v>
      </c>
      <c r="AB66" s="163" t="str">
        <f>MsgNum</f>
        <v>Please enter numeric value only.</v>
      </c>
      <c r="AC66" s="163"/>
      <c r="AD66" s="145"/>
    </row>
    <row r="67" spans="1:30" x14ac:dyDescent="0.25">
      <c r="A67" s="132" t="s">
        <v>846</v>
      </c>
      <c r="W67" s="27"/>
      <c r="X67" s="27"/>
      <c r="Y67" s="27"/>
      <c r="Z67" s="27"/>
      <c r="AA67" s="27"/>
      <c r="AB67" s="27"/>
      <c r="AC67" s="27"/>
      <c r="AD67" s="144"/>
    </row>
    <row r="68" spans="1:30" ht="45" x14ac:dyDescent="0.25">
      <c r="A68" s="133" t="s">
        <v>472</v>
      </c>
      <c r="B68" s="147"/>
      <c r="C68" s="163"/>
      <c r="D68" s="147"/>
      <c r="E68" s="147"/>
      <c r="F68" s="147"/>
      <c r="G68" s="147"/>
      <c r="H68" s="147"/>
      <c r="I68" s="147"/>
      <c r="J68" s="147"/>
      <c r="K68" s="147"/>
      <c r="L68" s="147"/>
      <c r="M68" s="147"/>
      <c r="N68" s="147"/>
      <c r="O68" s="147"/>
      <c r="P68" s="147"/>
      <c r="Q68" s="147"/>
      <c r="R68" s="147"/>
      <c r="S68" s="147"/>
      <c r="T68" s="147"/>
      <c r="U68" s="147"/>
      <c r="V68" s="163"/>
      <c r="W68" s="163" t="s">
        <v>1137</v>
      </c>
      <c r="X68" s="163" t="s">
        <v>1138</v>
      </c>
      <c r="Y68" s="163" t="s">
        <v>1139</v>
      </c>
      <c r="Z68" s="163"/>
      <c r="AA68" s="163"/>
      <c r="AB68" s="163"/>
      <c r="AC68" s="163"/>
      <c r="AD68" s="145"/>
    </row>
    <row r="70" spans="1:30" x14ac:dyDescent="0.25">
      <c r="A70" s="159" t="s">
        <v>796</v>
      </c>
      <c r="B70" s="160" t="s">
        <v>406</v>
      </c>
      <c r="C70" s="160" t="s">
        <v>407</v>
      </c>
      <c r="D70" s="160" t="s">
        <v>464</v>
      </c>
      <c r="E70" s="160" t="s">
        <v>797</v>
      </c>
      <c r="F70" s="160" t="s">
        <v>798</v>
      </c>
      <c r="G70" s="160" t="s">
        <v>799</v>
      </c>
      <c r="H70" s="160" t="s">
        <v>800</v>
      </c>
      <c r="I70" s="146"/>
      <c r="J70" s="146"/>
      <c r="K70" s="146"/>
      <c r="L70" s="146"/>
      <c r="M70" s="146"/>
      <c r="N70" s="146"/>
      <c r="O70" s="146"/>
      <c r="P70" s="146"/>
      <c r="Q70" s="146"/>
      <c r="R70" s="146"/>
      <c r="S70" s="146"/>
      <c r="T70" s="146"/>
      <c r="U70" s="146"/>
      <c r="V70" s="146"/>
      <c r="W70" s="146"/>
      <c r="X70" s="146"/>
      <c r="Y70" s="146"/>
      <c r="Z70" s="146"/>
      <c r="AA70" s="146"/>
      <c r="AB70" s="146"/>
      <c r="AC70" s="146"/>
      <c r="AD70" s="143" t="s">
        <v>801</v>
      </c>
    </row>
    <row r="71" spans="1:30" x14ac:dyDescent="0.25">
      <c r="A71" s="132" t="s">
        <v>470</v>
      </c>
      <c r="B71" t="s">
        <v>273</v>
      </c>
      <c r="C71" t="s">
        <v>273</v>
      </c>
      <c r="D71" t="s">
        <v>273</v>
      </c>
      <c r="E71" t="s">
        <v>273</v>
      </c>
      <c r="F71" t="s">
        <v>273</v>
      </c>
      <c r="G71" t="s">
        <v>273</v>
      </c>
      <c r="H71" t="s">
        <v>273</v>
      </c>
      <c r="AD71" s="144"/>
    </row>
    <row r="72" spans="1:30" x14ac:dyDescent="0.25">
      <c r="A72" s="132" t="s">
        <v>469</v>
      </c>
      <c r="AD72" s="144"/>
    </row>
    <row r="73" spans="1:30" x14ac:dyDescent="0.25">
      <c r="A73" s="132" t="s">
        <v>471</v>
      </c>
      <c r="B73" t="s">
        <v>802</v>
      </c>
      <c r="C73" t="s">
        <v>803</v>
      </c>
      <c r="D73" t="s">
        <v>804</v>
      </c>
      <c r="E73" t="s">
        <v>805</v>
      </c>
      <c r="F73" t="s">
        <v>806</v>
      </c>
      <c r="G73" t="s">
        <v>807</v>
      </c>
      <c r="H73" t="s">
        <v>808</v>
      </c>
      <c r="AD73" s="144"/>
    </row>
    <row r="74" spans="1:30" x14ac:dyDescent="0.25">
      <c r="A74" s="132" t="s">
        <v>472</v>
      </c>
      <c r="B74" t="str">
        <f t="shared" ref="B74:H74" si="18">CONCATENATE(B70,MsgMandat)</f>
        <v>PIN of Employee is Mandatory field.</v>
      </c>
      <c r="C74" t="str">
        <f t="shared" si="18"/>
        <v>Name of Employee is Mandatory field.</v>
      </c>
      <c r="D74" t="str">
        <f t="shared" si="18"/>
        <v>Loan Account Number is Mandatory field.</v>
      </c>
      <c r="E74" t="str">
        <f t="shared" si="18"/>
        <v>Loan Amount is Mandatory field.</v>
      </c>
      <c r="F74" t="str">
        <f t="shared" si="18"/>
        <v>Amount of Loan Outstanding is Mandatory field.</v>
      </c>
      <c r="G74" t="str">
        <f t="shared" si="18"/>
        <v>Rate of Interest on Loan is Mandatory field.</v>
      </c>
      <c r="H74" t="str">
        <f t="shared" si="18"/>
        <v>Prescribed Market Interest Rate is Mandatory field.</v>
      </c>
      <c r="AD74" s="144"/>
    </row>
    <row r="75" spans="1:30" x14ac:dyDescent="0.25">
      <c r="A75" s="132" t="s">
        <v>473</v>
      </c>
      <c r="B75" t="s">
        <v>809</v>
      </c>
      <c r="C75" t="s">
        <v>810</v>
      </c>
      <c r="D75" t="s">
        <v>811</v>
      </c>
      <c r="E75" t="s">
        <v>812</v>
      </c>
      <c r="F75" t="s">
        <v>813</v>
      </c>
      <c r="H75" t="s">
        <v>814</v>
      </c>
      <c r="AD75" s="144"/>
    </row>
    <row r="76" spans="1:30" ht="30" x14ac:dyDescent="0.25">
      <c r="A76" s="133" t="s">
        <v>472</v>
      </c>
      <c r="B76" s="147" t="str">
        <f>CONCATENATE(B70,MsgPINDup)</f>
        <v>PIN of Employee can not be same as  Taxpayer's PIN.</v>
      </c>
      <c r="C76" s="147" t="str">
        <f>MsgAlpNumSpl</f>
        <v>Please enter alphanumeric value. Only Special characters like (space , . / - :) are allowed.</v>
      </c>
      <c r="D76" s="163" t="str">
        <f>MsgAlpNum</f>
        <v>Please enter alphanumeric value. Special characters  are  not allowed.</v>
      </c>
      <c r="E76" s="147" t="str">
        <f>MsgNum</f>
        <v>Please enter numeric value only.</v>
      </c>
      <c r="F76" s="147" t="str">
        <f>MsgNum</f>
        <v>Please enter numeric value only.</v>
      </c>
      <c r="G76" s="147"/>
      <c r="H76" s="147" t="str">
        <f>MsgNum</f>
        <v>Please enter numeric value only.</v>
      </c>
      <c r="I76" s="147"/>
      <c r="J76" s="147"/>
      <c r="K76" s="147"/>
      <c r="L76" s="147"/>
      <c r="M76" s="147"/>
      <c r="N76" s="147"/>
      <c r="O76" s="147"/>
      <c r="P76" s="147"/>
      <c r="Q76" s="147"/>
      <c r="R76" s="147"/>
      <c r="S76" s="147"/>
      <c r="T76" s="147"/>
      <c r="U76" s="147"/>
      <c r="V76" s="147"/>
      <c r="W76" s="147"/>
      <c r="X76" s="147"/>
      <c r="Y76" s="147"/>
      <c r="Z76" s="147"/>
      <c r="AA76" s="147"/>
      <c r="AB76" s="147"/>
      <c r="AC76" s="147"/>
      <c r="AD76" s="145"/>
    </row>
    <row r="78" spans="1:30" x14ac:dyDescent="0.25">
      <c r="A78" s="159" t="s">
        <v>815</v>
      </c>
      <c r="B78" s="160" t="s">
        <v>406</v>
      </c>
      <c r="C78" s="160" t="s">
        <v>407</v>
      </c>
      <c r="D78" s="160" t="s">
        <v>816</v>
      </c>
      <c r="E78" s="160" t="s">
        <v>817</v>
      </c>
      <c r="F78" s="160" t="s">
        <v>1115</v>
      </c>
      <c r="G78" s="160" t="s">
        <v>818</v>
      </c>
      <c r="H78" s="160" t="s">
        <v>819</v>
      </c>
      <c r="I78" s="160"/>
      <c r="J78" s="146"/>
      <c r="K78" s="146"/>
      <c r="L78" s="146"/>
      <c r="M78" s="146"/>
      <c r="N78" s="146"/>
      <c r="O78" s="146"/>
      <c r="P78" s="146"/>
      <c r="Q78" s="146"/>
      <c r="R78" s="146"/>
      <c r="S78" s="146"/>
      <c r="T78" s="146"/>
      <c r="U78" s="146"/>
      <c r="V78" s="146"/>
      <c r="W78" s="146"/>
      <c r="X78" s="146"/>
      <c r="Y78" s="146"/>
      <c r="Z78" s="146"/>
      <c r="AA78" s="146"/>
      <c r="AB78" s="146"/>
      <c r="AC78" s="146"/>
      <c r="AD78" s="143" t="s">
        <v>820</v>
      </c>
    </row>
    <row r="79" spans="1:30" x14ac:dyDescent="0.25">
      <c r="A79" s="132" t="s">
        <v>470</v>
      </c>
      <c r="B79" t="s">
        <v>273</v>
      </c>
      <c r="C79" t="s">
        <v>273</v>
      </c>
      <c r="D79" t="s">
        <v>273</v>
      </c>
      <c r="E79" t="s">
        <v>273</v>
      </c>
      <c r="F79" t="s">
        <v>273</v>
      </c>
      <c r="G79" t="s">
        <v>273</v>
      </c>
      <c r="H79" t="s">
        <v>273</v>
      </c>
      <c r="AD79" s="144"/>
    </row>
    <row r="80" spans="1:30" x14ac:dyDescent="0.25">
      <c r="A80" s="132" t="s">
        <v>469</v>
      </c>
      <c r="AD80" s="144"/>
    </row>
    <row r="81" spans="1:30" x14ac:dyDescent="0.25">
      <c r="A81" s="132" t="s">
        <v>471</v>
      </c>
      <c r="B81" t="s">
        <v>821</v>
      </c>
      <c r="C81" t="s">
        <v>822</v>
      </c>
      <c r="D81" t="s">
        <v>823</v>
      </c>
      <c r="E81" t="s">
        <v>824</v>
      </c>
      <c r="F81" t="s">
        <v>825</v>
      </c>
      <c r="G81" t="s">
        <v>826</v>
      </c>
      <c r="H81" t="s">
        <v>827</v>
      </c>
      <c r="AD81" s="144"/>
    </row>
    <row r="82" spans="1:30" x14ac:dyDescent="0.25">
      <c r="A82" s="132" t="s">
        <v>472</v>
      </c>
      <c r="B82" t="str">
        <f t="shared" ref="B82:H82" si="19">CONCATENATE(B78,MsgMandat)</f>
        <v>PIN of Employee is Mandatory field.</v>
      </c>
      <c r="C82" t="str">
        <f t="shared" si="19"/>
        <v>Name of Employee is Mandatory field.</v>
      </c>
      <c r="D82" t="str">
        <f t="shared" si="19"/>
        <v>Gratuity Paid Month is Mandatory field.</v>
      </c>
      <c r="E82" t="str">
        <f t="shared" si="19"/>
        <v>Gratuity Paid Year  is Mandatory field.</v>
      </c>
      <c r="F82" t="str">
        <f t="shared" si="19"/>
        <v>Gratuity Related/ Retirement Year is Mandatory field.</v>
      </c>
      <c r="G82" t="str">
        <f t="shared" si="19"/>
        <v>Gratuity Period in Years is Mandatory field.</v>
      </c>
      <c r="H82" t="str">
        <f t="shared" si="19"/>
        <v>Gratuity Value (Ksh) is Mandatory field.</v>
      </c>
      <c r="AD82" s="144"/>
    </row>
    <row r="83" spans="1:30" x14ac:dyDescent="0.25">
      <c r="A83" s="132" t="s">
        <v>473</v>
      </c>
      <c r="B83" t="s">
        <v>828</v>
      </c>
      <c r="C83" t="s">
        <v>829</v>
      </c>
      <c r="D83" t="s">
        <v>830</v>
      </c>
      <c r="E83" t="s">
        <v>831</v>
      </c>
      <c r="F83" t="s">
        <v>832</v>
      </c>
      <c r="H83" t="s">
        <v>833</v>
      </c>
      <c r="AD83" s="144"/>
    </row>
    <row r="84" spans="1:30" x14ac:dyDescent="0.25">
      <c r="A84" s="133" t="s">
        <v>472</v>
      </c>
      <c r="B84" s="147" t="s">
        <v>1074</v>
      </c>
      <c r="C84" s="147" t="str">
        <f>MsgAlpNumSpl</f>
        <v>Please enter alphanumeric value. Only Special characters like (space , . / - :) are allowed.</v>
      </c>
      <c r="D84" s="147" t="str">
        <f>CONCATENATE(D78,MsgRtnMonth)</f>
        <v>Gratuity Paid Month should be same as Return for the Month in Section A.</v>
      </c>
      <c r="E84" s="147" t="str">
        <f>CONCATENATE(E78,MsgYearVal2)</f>
        <v>Gratuity Paid Year  should be same as Year of Income in Section A.</v>
      </c>
      <c r="F84" s="147" t="str">
        <f>CONCATENATE(F78,MsgYearVal1)</f>
        <v>Gratuity Related/ Retirement Year should be before or same as Year of Income in Section A.</v>
      </c>
      <c r="G84" s="147"/>
      <c r="H84" s="147" t="str">
        <f>MsgNum</f>
        <v>Please enter numeric value only.</v>
      </c>
      <c r="I84" s="147"/>
      <c r="J84" s="147"/>
      <c r="K84" s="147"/>
      <c r="L84" s="147"/>
      <c r="M84" s="147"/>
      <c r="N84" s="147"/>
      <c r="O84" s="147"/>
      <c r="P84" s="147"/>
      <c r="Q84" s="147"/>
      <c r="R84" s="147"/>
      <c r="S84" s="147"/>
      <c r="T84" s="147"/>
      <c r="U84" s="147"/>
      <c r="V84" s="147"/>
      <c r="W84" s="147"/>
      <c r="X84" s="147"/>
      <c r="Y84" s="147"/>
      <c r="Z84" s="147"/>
      <c r="AA84" s="147"/>
      <c r="AB84" s="147"/>
      <c r="AC84" s="147"/>
      <c r="AD84" s="145"/>
    </row>
    <row r="86" spans="1:30" x14ac:dyDescent="0.25">
      <c r="A86" s="159" t="s">
        <v>815</v>
      </c>
      <c r="B86" s="146" t="s">
        <v>1113</v>
      </c>
      <c r="C86" s="146" t="s">
        <v>1114</v>
      </c>
      <c r="D86" s="146" t="s">
        <v>1251</v>
      </c>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3" t="s">
        <v>834</v>
      </c>
    </row>
    <row r="87" spans="1:30" x14ac:dyDescent="0.25">
      <c r="A87" s="132" t="s">
        <v>470</v>
      </c>
      <c r="B87" t="s">
        <v>273</v>
      </c>
      <c r="C87" t="s">
        <v>273</v>
      </c>
      <c r="D87" t="s">
        <v>273</v>
      </c>
      <c r="AD87" s="144"/>
    </row>
    <row r="88" spans="1:30" x14ac:dyDescent="0.25">
      <c r="A88" s="132" t="s">
        <v>469</v>
      </c>
      <c r="AD88" s="144"/>
    </row>
    <row r="89" spans="1:30" x14ac:dyDescent="0.25">
      <c r="A89" s="132" t="s">
        <v>471</v>
      </c>
      <c r="B89" t="s">
        <v>835</v>
      </c>
      <c r="C89" t="s">
        <v>836</v>
      </c>
      <c r="D89" t="s">
        <v>1252</v>
      </c>
      <c r="AD89" s="144"/>
    </row>
    <row r="90" spans="1:30" x14ac:dyDescent="0.25">
      <c r="A90" s="133" t="s">
        <v>472</v>
      </c>
      <c r="B90" s="147" t="str">
        <f>CONCATENATE(B86,MsgMandat)</f>
        <v>Taxable Amounts is Mandatory field.</v>
      </c>
      <c r="C90" s="147" t="str">
        <f>CONCATENATE(C86,MsgMandat)</f>
        <v>Tax Deducted plus Reliefs is Mandatory field.</v>
      </c>
      <c r="D90" s="147" t="s">
        <v>1253</v>
      </c>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5"/>
    </row>
    <row r="92" spans="1:30" x14ac:dyDescent="0.25">
      <c r="A92" s="159" t="s">
        <v>492</v>
      </c>
      <c r="B92" s="160" t="s">
        <v>837</v>
      </c>
      <c r="C92" s="160" t="s">
        <v>838</v>
      </c>
      <c r="D92" s="160" t="s">
        <v>839</v>
      </c>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3" t="s">
        <v>502</v>
      </c>
    </row>
    <row r="93" spans="1:30" x14ac:dyDescent="0.25">
      <c r="A93" s="132" t="s">
        <v>470</v>
      </c>
      <c r="B93" t="s">
        <v>273</v>
      </c>
      <c r="C93" t="s">
        <v>273</v>
      </c>
      <c r="D93" t="s">
        <v>273</v>
      </c>
      <c r="AD93" s="144"/>
    </row>
    <row r="94" spans="1:30" x14ac:dyDescent="0.25">
      <c r="A94" s="132" t="s">
        <v>469</v>
      </c>
      <c r="AD94" s="144"/>
    </row>
    <row r="95" spans="1:30" x14ac:dyDescent="0.25">
      <c r="A95" s="132" t="s">
        <v>471</v>
      </c>
      <c r="B95" t="s">
        <v>840</v>
      </c>
      <c r="C95" t="s">
        <v>841</v>
      </c>
      <c r="D95" t="s">
        <v>842</v>
      </c>
      <c r="AD95" s="144"/>
    </row>
    <row r="96" spans="1:30" x14ac:dyDescent="0.25">
      <c r="A96" s="132" t="s">
        <v>472</v>
      </c>
      <c r="B96" t="str">
        <f>CONCATENATE(B92,MsgMandat)</f>
        <v>Payment Registration Number is Mandatory field.</v>
      </c>
      <c r="C96" t="str">
        <f>CONCATENATE(C92,MsgMandat)</f>
        <v>Date of Deposit is Mandatory field.</v>
      </c>
      <c r="D96" t="str">
        <f>CONCATENATE(D92,MsgMandat)</f>
        <v>Amount of PAYE Tax Paid is Mandatory field.</v>
      </c>
      <c r="AD96" s="144"/>
    </row>
    <row r="97" spans="1:30" x14ac:dyDescent="0.25">
      <c r="A97" s="132" t="s">
        <v>473</v>
      </c>
      <c r="B97" t="s">
        <v>843</v>
      </c>
      <c r="D97" t="s">
        <v>844</v>
      </c>
      <c r="AD97" s="144"/>
    </row>
    <row r="98" spans="1:30" x14ac:dyDescent="0.25">
      <c r="A98" s="132" t="s">
        <v>472</v>
      </c>
      <c r="B98" t="s">
        <v>845</v>
      </c>
      <c r="C98" t="str">
        <f>CONCATENATE(C92,MsgDateFrmt)</f>
        <v>Date of Deposit in proper format(dd/mm/yyyy).</v>
      </c>
      <c r="D98" t="str">
        <f>msgPositvNum</f>
        <v>Please enter numeric value greater than zero.</v>
      </c>
      <c r="AD98" s="144"/>
    </row>
    <row r="99" spans="1:30" ht="14.25" customHeight="1" x14ac:dyDescent="0.25">
      <c r="A99" s="132" t="s">
        <v>846</v>
      </c>
      <c r="B99" t="s">
        <v>847</v>
      </c>
      <c r="AD99" s="144"/>
    </row>
    <row r="100" spans="1:30" x14ac:dyDescent="0.25">
      <c r="A100" s="133" t="s">
        <v>472</v>
      </c>
      <c r="B100" s="147" t="s">
        <v>848</v>
      </c>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5"/>
    </row>
    <row r="102" spans="1:30" x14ac:dyDescent="0.25">
      <c r="A102" s="159" t="s">
        <v>492</v>
      </c>
      <c r="B102" s="160" t="s">
        <v>837</v>
      </c>
      <c r="C102" s="160" t="s">
        <v>838</v>
      </c>
      <c r="D102" s="160" t="s">
        <v>839</v>
      </c>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3" t="s">
        <v>499</v>
      </c>
    </row>
    <row r="103" spans="1:30" x14ac:dyDescent="0.25">
      <c r="A103" s="132" t="s">
        <v>470</v>
      </c>
      <c r="B103" t="s">
        <v>273</v>
      </c>
      <c r="C103" t="s">
        <v>273</v>
      </c>
      <c r="D103" t="s">
        <v>273</v>
      </c>
      <c r="AD103" s="144"/>
    </row>
    <row r="104" spans="1:30" x14ac:dyDescent="0.25">
      <c r="A104" s="132" t="s">
        <v>469</v>
      </c>
      <c r="AD104" s="144"/>
    </row>
    <row r="105" spans="1:30" x14ac:dyDescent="0.25">
      <c r="A105" s="132" t="s">
        <v>471</v>
      </c>
      <c r="B105" t="s">
        <v>849</v>
      </c>
      <c r="C105" t="s">
        <v>850</v>
      </c>
      <c r="D105" t="s">
        <v>851</v>
      </c>
      <c r="AD105" s="144"/>
    </row>
    <row r="106" spans="1:30" x14ac:dyDescent="0.25">
      <c r="A106" s="132" t="s">
        <v>472</v>
      </c>
      <c r="B106" t="str">
        <f>CONCATENATE(B102,MsgMandat)</f>
        <v>Payment Registration Number is Mandatory field.</v>
      </c>
      <c r="C106" t="str">
        <f>CONCATENATE(C102,MsgMandat)</f>
        <v>Date of Deposit is Mandatory field.</v>
      </c>
      <c r="D106" t="str">
        <f>CONCATENATE(D102,MsgMandat)</f>
        <v>Amount of PAYE Tax Paid is Mandatory field.</v>
      </c>
      <c r="AD106" s="144"/>
    </row>
    <row r="107" spans="1:30" x14ac:dyDescent="0.25">
      <c r="A107" s="132" t="s">
        <v>473</v>
      </c>
      <c r="B107" t="s">
        <v>852</v>
      </c>
      <c r="D107" t="s">
        <v>853</v>
      </c>
      <c r="AD107" s="144"/>
    </row>
    <row r="108" spans="1:30" x14ac:dyDescent="0.25">
      <c r="A108" s="132" t="s">
        <v>472</v>
      </c>
      <c r="B108" t="s">
        <v>845</v>
      </c>
      <c r="C108" t="str">
        <f>CONCATENATE(C102,MsgDateFrmt)</f>
        <v>Date of Deposit in proper format(dd/mm/yyyy).</v>
      </c>
      <c r="D108" t="str">
        <f>msgPositvNum</f>
        <v>Please enter numeric value greater than zero.</v>
      </c>
      <c r="AD108" s="144"/>
    </row>
    <row r="109" spans="1:30" x14ac:dyDescent="0.25">
      <c r="A109" s="132" t="s">
        <v>846</v>
      </c>
      <c r="B109" t="s">
        <v>854</v>
      </c>
      <c r="AD109" s="144"/>
    </row>
    <row r="110" spans="1:30" x14ac:dyDescent="0.25">
      <c r="A110" s="133" t="s">
        <v>472</v>
      </c>
      <c r="B110" s="147" t="s">
        <v>848</v>
      </c>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5"/>
    </row>
    <row r="112" spans="1:30" ht="30" x14ac:dyDescent="0.25">
      <c r="A112" s="187" t="s">
        <v>1173</v>
      </c>
      <c r="B112" s="188" t="s">
        <v>1154</v>
      </c>
      <c r="C112" s="160" t="s">
        <v>1155</v>
      </c>
      <c r="D112" s="160" t="s">
        <v>1156</v>
      </c>
      <c r="E112" s="160" t="s">
        <v>1157</v>
      </c>
      <c r="F112" s="160" t="s">
        <v>444</v>
      </c>
      <c r="G112" s="161" t="s">
        <v>1158</v>
      </c>
      <c r="H112" s="160" t="s">
        <v>1159</v>
      </c>
      <c r="I112" s="160"/>
      <c r="J112" s="160"/>
      <c r="K112" s="146"/>
      <c r="L112" s="146"/>
      <c r="M112" s="146"/>
      <c r="N112" s="146"/>
      <c r="O112" s="146"/>
      <c r="P112" s="146"/>
      <c r="Q112" s="146"/>
      <c r="R112" s="146"/>
      <c r="S112" s="146"/>
      <c r="T112" s="146"/>
      <c r="U112" s="146"/>
      <c r="V112" s="146"/>
      <c r="W112" s="146"/>
      <c r="X112" s="146"/>
      <c r="Y112" s="146"/>
      <c r="Z112" s="146"/>
      <c r="AA112" s="146"/>
      <c r="AB112" s="146"/>
      <c r="AC112" s="146"/>
      <c r="AD112" s="189" t="s">
        <v>1153</v>
      </c>
    </row>
    <row r="113" spans="1:30" x14ac:dyDescent="0.25">
      <c r="A113" s="132" t="s">
        <v>470</v>
      </c>
      <c r="B113" t="s">
        <v>273</v>
      </c>
      <c r="C113" t="s">
        <v>273</v>
      </c>
      <c r="D113" t="s">
        <v>273</v>
      </c>
      <c r="E113" t="s">
        <v>273</v>
      </c>
      <c r="F113" t="s">
        <v>273</v>
      </c>
      <c r="G113" t="s">
        <v>273</v>
      </c>
      <c r="H113" t="s">
        <v>273</v>
      </c>
      <c r="AD113" s="144"/>
    </row>
    <row r="114" spans="1:30" x14ac:dyDescent="0.25">
      <c r="A114" s="132" t="s">
        <v>469</v>
      </c>
      <c r="B114">
        <v>50</v>
      </c>
      <c r="C114">
        <v>50</v>
      </c>
      <c r="D114">
        <v>11</v>
      </c>
      <c r="AD114" s="144"/>
    </row>
    <row r="115" spans="1:30" ht="30" x14ac:dyDescent="0.25">
      <c r="A115" s="190" t="s">
        <v>471</v>
      </c>
      <c r="B115" s="27" t="s">
        <v>1261</v>
      </c>
      <c r="C115" s="27" t="s">
        <v>1174</v>
      </c>
      <c r="D115" s="27" t="s">
        <v>1175</v>
      </c>
      <c r="E115" s="27" t="s">
        <v>1176</v>
      </c>
      <c r="F115" s="27" t="s">
        <v>1177</v>
      </c>
      <c r="G115" s="27" t="s">
        <v>1178</v>
      </c>
      <c r="H115" s="27" t="s">
        <v>1179</v>
      </c>
      <c r="AD115" s="144"/>
    </row>
    <row r="116" spans="1:30" ht="45" x14ac:dyDescent="0.25">
      <c r="A116" s="190" t="s">
        <v>1180</v>
      </c>
      <c r="B116" s="27" t="s">
        <v>1181</v>
      </c>
      <c r="C116" s="27" t="s">
        <v>1182</v>
      </c>
      <c r="D116" s="27" t="s">
        <v>1183</v>
      </c>
      <c r="E116" s="27" t="s">
        <v>1184</v>
      </c>
      <c r="F116" s="27" t="s">
        <v>1185</v>
      </c>
      <c r="G116" s="27" t="s">
        <v>1186</v>
      </c>
      <c r="H116" s="27" t="s">
        <v>1187</v>
      </c>
      <c r="AD116" s="144"/>
    </row>
    <row r="117" spans="1:30" ht="30" x14ac:dyDescent="0.25">
      <c r="A117" s="190" t="s">
        <v>473</v>
      </c>
      <c r="B117" s="27" t="s">
        <v>1204</v>
      </c>
      <c r="C117" s="27" t="s">
        <v>1188</v>
      </c>
      <c r="D117" s="27" t="s">
        <v>1189</v>
      </c>
      <c r="E117" s="27" t="s">
        <v>1190</v>
      </c>
      <c r="F117" s="27" t="s">
        <v>1191</v>
      </c>
      <c r="G117" s="27" t="s">
        <v>1192</v>
      </c>
      <c r="H117" s="27" t="s">
        <v>1193</v>
      </c>
      <c r="AD117" s="144"/>
    </row>
    <row r="118" spans="1:30" ht="30" x14ac:dyDescent="0.25">
      <c r="A118" s="190" t="s">
        <v>1180</v>
      </c>
      <c r="B118" s="27" t="s">
        <v>1203</v>
      </c>
      <c r="C118" s="27" t="s">
        <v>1194</v>
      </c>
      <c r="D118" s="27" t="s">
        <v>1195</v>
      </c>
      <c r="E118" s="27" t="s">
        <v>1196</v>
      </c>
      <c r="F118" s="27" t="s">
        <v>1196</v>
      </c>
      <c r="G118" s="27" t="s">
        <v>1197</v>
      </c>
      <c r="H118" s="27" t="s">
        <v>1198</v>
      </c>
      <c r="AD118" s="144"/>
    </row>
    <row r="119" spans="1:30" x14ac:dyDescent="0.25">
      <c r="A119" s="190" t="s">
        <v>846</v>
      </c>
      <c r="B119" s="27" t="s">
        <v>1260</v>
      </c>
      <c r="C119" s="27" t="s">
        <v>1199</v>
      </c>
      <c r="D119" s="27"/>
      <c r="E119" s="27"/>
      <c r="F119" s="27"/>
      <c r="AD119" s="144"/>
    </row>
    <row r="120" spans="1:30" ht="30" x14ac:dyDescent="0.25">
      <c r="A120" s="191" t="s">
        <v>1180</v>
      </c>
      <c r="B120" s="163" t="s">
        <v>1202</v>
      </c>
      <c r="C120" s="163" t="s">
        <v>170</v>
      </c>
      <c r="D120" s="163"/>
      <c r="E120" s="163"/>
      <c r="F120" s="163"/>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5"/>
    </row>
    <row r="122" spans="1:30" x14ac:dyDescent="0.25">
      <c r="A122" s="187" t="s">
        <v>1214</v>
      </c>
      <c r="B122" s="188" t="s">
        <v>1215</v>
      </c>
      <c r="C122" s="160" t="s">
        <v>1216</v>
      </c>
      <c r="D122" s="160" t="s">
        <v>1156</v>
      </c>
      <c r="E122" s="160" t="s">
        <v>1213</v>
      </c>
      <c r="AD122" s="26" t="s">
        <v>1212</v>
      </c>
    </row>
    <row r="123" spans="1:30" x14ac:dyDescent="0.25">
      <c r="A123" s="132" t="s">
        <v>470</v>
      </c>
      <c r="B123" t="s">
        <v>273</v>
      </c>
      <c r="C123" t="s">
        <v>273</v>
      </c>
      <c r="D123" t="s">
        <v>273</v>
      </c>
      <c r="E123" t="s">
        <v>273</v>
      </c>
    </row>
    <row r="124" spans="1:30" x14ac:dyDescent="0.25">
      <c r="A124" s="132" t="s">
        <v>469</v>
      </c>
      <c r="B124">
        <v>50</v>
      </c>
      <c r="C124">
        <v>50</v>
      </c>
      <c r="D124">
        <v>11</v>
      </c>
    </row>
    <row r="125" spans="1:30" ht="30" x14ac:dyDescent="0.25">
      <c r="A125" s="190" t="s">
        <v>471</v>
      </c>
      <c r="B125" s="27" t="s">
        <v>1217</v>
      </c>
      <c r="C125" s="27" t="s">
        <v>1218</v>
      </c>
      <c r="D125" s="27" t="s">
        <v>1219</v>
      </c>
      <c r="E125" s="27" t="s">
        <v>1220</v>
      </c>
    </row>
    <row r="126" spans="1:30" ht="30" x14ac:dyDescent="0.25">
      <c r="A126" s="190" t="s">
        <v>1180</v>
      </c>
      <c r="B126" s="27" t="s">
        <v>1225</v>
      </c>
      <c r="C126" s="27" t="s">
        <v>1226</v>
      </c>
      <c r="D126" s="27" t="s">
        <v>1183</v>
      </c>
      <c r="E126" s="27" t="s">
        <v>1227</v>
      </c>
    </row>
    <row r="127" spans="1:30" ht="30" x14ac:dyDescent="0.25">
      <c r="A127" s="190" t="s">
        <v>473</v>
      </c>
      <c r="B127" s="27" t="s">
        <v>1224</v>
      </c>
      <c r="C127" s="27" t="s">
        <v>1222</v>
      </c>
      <c r="D127" s="27" t="s">
        <v>1234</v>
      </c>
      <c r="E127" s="27" t="s">
        <v>1221</v>
      </c>
    </row>
    <row r="128" spans="1:30" ht="30" x14ac:dyDescent="0.25">
      <c r="A128" s="190" t="s">
        <v>1180</v>
      </c>
      <c r="B128" s="27" t="s">
        <v>1194</v>
      </c>
      <c r="C128" s="27" t="s">
        <v>1194</v>
      </c>
      <c r="D128" s="27" t="s">
        <v>1195</v>
      </c>
      <c r="E128" s="27" t="s">
        <v>1196</v>
      </c>
    </row>
    <row r="129" spans="1:5" x14ac:dyDescent="0.25">
      <c r="A129" s="190" t="s">
        <v>846</v>
      </c>
      <c r="B129" s="27" t="s">
        <v>1255</v>
      </c>
      <c r="C129" s="27" t="s">
        <v>1223</v>
      </c>
      <c r="D129" s="27"/>
      <c r="E129" s="27"/>
    </row>
    <row r="130" spans="1:5" ht="30" x14ac:dyDescent="0.25">
      <c r="A130" s="191" t="s">
        <v>1180</v>
      </c>
      <c r="B130" s="27" t="s">
        <v>170</v>
      </c>
      <c r="C130" s="163" t="s">
        <v>170</v>
      </c>
      <c r="D130" s="163"/>
      <c r="E130" s="163"/>
    </row>
  </sheetData>
  <sheetProtection selectLockedCells="1"/>
  <pageMargins left="0.7" right="0.7" top="0.75" bottom="0.75" header="0.51180555555555551" footer="0.51180555555555551"/>
  <pageSetup firstPageNumber="0"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76B49-0B6F-49C6-8059-4BC89AF929FB}">
  <sheetPr codeName="Sheet12"/>
  <dimension ref="A1:H25"/>
  <sheetViews>
    <sheetView workbookViewId="0">
      <selection activeCell="D18" sqref="D18"/>
    </sheetView>
  </sheetViews>
  <sheetFormatPr defaultColWidth="0" defaultRowHeight="15" customHeight="1" zeroHeight="1" x14ac:dyDescent="0.25"/>
  <cols>
    <col min="1" max="1" width="9.28515625" style="173" customWidth="1"/>
    <col min="2" max="2" width="24.7109375" customWidth="1"/>
    <col min="3" max="3" width="8.7109375" customWidth="1"/>
    <col min="4" max="4" width="114.7109375" customWidth="1"/>
    <col min="5" max="8" width="9.28515625" style="173" customWidth="1"/>
  </cols>
  <sheetData>
    <row r="1" spans="1:8" ht="13.5" customHeight="1" x14ac:dyDescent="0.25">
      <c r="A1" s="214"/>
      <c r="B1" s="215" t="s">
        <v>1109</v>
      </c>
      <c r="C1" s="216"/>
      <c r="D1" s="216"/>
      <c r="E1" s="214"/>
      <c r="F1" s="214"/>
      <c r="G1" s="214"/>
      <c r="H1" s="214"/>
    </row>
    <row r="2" spans="1:8" ht="14.25" customHeight="1" x14ac:dyDescent="0.25">
      <c r="A2" s="214"/>
      <c r="B2" s="216"/>
      <c r="C2" s="216"/>
      <c r="D2" s="216"/>
      <c r="E2" s="214"/>
      <c r="F2" s="214"/>
      <c r="G2" s="214"/>
      <c r="H2" s="214"/>
    </row>
    <row r="3" spans="1:8" s="174" customFormat="1" ht="12" customHeight="1" x14ac:dyDescent="0.25">
      <c r="A3" s="214"/>
      <c r="B3" s="216"/>
      <c r="C3" s="216"/>
      <c r="D3" s="216"/>
      <c r="E3" s="214"/>
      <c r="F3" s="214"/>
      <c r="G3" s="214"/>
      <c r="H3" s="214"/>
    </row>
    <row r="4" spans="1:8" s="174" customFormat="1" ht="16.5" x14ac:dyDescent="0.25">
      <c r="A4" s="214"/>
      <c r="B4" s="217" t="s">
        <v>1110</v>
      </c>
      <c r="C4" s="217"/>
      <c r="D4" s="217"/>
      <c r="E4" s="214"/>
      <c r="F4" s="214"/>
      <c r="G4" s="214"/>
      <c r="H4" s="214"/>
    </row>
    <row r="5" spans="1:8" s="174" customFormat="1" ht="16.5" x14ac:dyDescent="0.3">
      <c r="A5" s="214"/>
      <c r="B5" s="4" t="s">
        <v>1</v>
      </c>
      <c r="C5" s="2"/>
      <c r="D5" s="3"/>
      <c r="E5" s="214"/>
      <c r="F5" s="214"/>
      <c r="G5" s="214"/>
      <c r="H5" s="214"/>
    </row>
    <row r="6" spans="1:8" s="174" customFormat="1" ht="16.5" x14ac:dyDescent="0.3">
      <c r="A6" s="214"/>
      <c r="B6" s="1"/>
      <c r="C6" s="5">
        <v>1</v>
      </c>
      <c r="D6" s="5" t="s">
        <v>3</v>
      </c>
      <c r="E6" s="214"/>
      <c r="F6" s="214"/>
      <c r="G6" s="214"/>
      <c r="H6" s="214"/>
    </row>
    <row r="7" spans="1:8" s="174" customFormat="1" ht="15.75" x14ac:dyDescent="0.25">
      <c r="A7" s="214"/>
      <c r="B7" s="1"/>
      <c r="C7" s="5">
        <v>2</v>
      </c>
      <c r="D7" s="5" t="s">
        <v>4</v>
      </c>
      <c r="E7" s="214"/>
      <c r="F7" s="214"/>
      <c r="G7" s="214"/>
      <c r="H7" s="214"/>
    </row>
    <row r="8" spans="1:8" s="174" customFormat="1" ht="15.75" x14ac:dyDescent="0.25">
      <c r="A8" s="214"/>
      <c r="B8" s="1"/>
      <c r="C8" s="5">
        <v>3</v>
      </c>
      <c r="D8" s="5" t="s">
        <v>5</v>
      </c>
      <c r="E8" s="214"/>
      <c r="F8" s="214"/>
      <c r="G8" s="214"/>
      <c r="H8" s="214"/>
    </row>
    <row r="9" spans="1:8" ht="15.75" x14ac:dyDescent="0.25">
      <c r="A9" s="214"/>
      <c r="B9" s="1"/>
      <c r="C9" s="5">
        <v>4</v>
      </c>
      <c r="D9" s="5" t="s">
        <v>6</v>
      </c>
      <c r="E9" s="214"/>
      <c r="F9" s="214"/>
      <c r="G9" s="214"/>
      <c r="H9" s="214"/>
    </row>
    <row r="10" spans="1:8" ht="5.25" customHeight="1" x14ac:dyDescent="0.25">
      <c r="A10" s="214"/>
      <c r="B10" s="1"/>
      <c r="C10" s="2"/>
      <c r="D10" s="3"/>
      <c r="E10" s="214"/>
      <c r="F10" s="214"/>
      <c r="G10" s="214"/>
      <c r="H10" s="214"/>
    </row>
    <row r="11" spans="1:8" ht="16.5" x14ac:dyDescent="0.3">
      <c r="A11" s="214"/>
      <c r="B11" s="4" t="s">
        <v>7</v>
      </c>
      <c r="C11" s="2"/>
      <c r="D11" s="3"/>
      <c r="E11" s="214"/>
      <c r="F11" s="214"/>
      <c r="G11" s="214"/>
      <c r="H11" s="214"/>
    </row>
    <row r="12" spans="1:8" ht="16.5" x14ac:dyDescent="0.3">
      <c r="A12" s="214"/>
      <c r="B12" s="1"/>
      <c r="C12" s="5">
        <v>1</v>
      </c>
      <c r="D12" s="5" t="s">
        <v>8</v>
      </c>
      <c r="E12" s="214"/>
      <c r="F12" s="214"/>
      <c r="G12" s="214"/>
      <c r="H12" s="214"/>
    </row>
    <row r="13" spans="1:8" ht="15.75" x14ac:dyDescent="0.25">
      <c r="A13" s="214"/>
      <c r="B13" s="1"/>
      <c r="C13" s="5">
        <v>2</v>
      </c>
      <c r="D13" s="5" t="s">
        <v>4</v>
      </c>
      <c r="E13" s="214"/>
      <c r="F13" s="214"/>
      <c r="G13" s="214"/>
      <c r="H13" s="214"/>
    </row>
    <row r="14" spans="1:8" ht="15.75" x14ac:dyDescent="0.25">
      <c r="A14" s="214"/>
      <c r="B14" s="1"/>
      <c r="C14" s="5">
        <v>3</v>
      </c>
      <c r="D14" s="5" t="s">
        <v>5</v>
      </c>
      <c r="E14" s="214"/>
      <c r="F14" s="214"/>
      <c r="G14" s="214"/>
      <c r="H14" s="214"/>
    </row>
    <row r="15" spans="1:8" ht="15.75" x14ac:dyDescent="0.25">
      <c r="A15" s="214"/>
      <c r="B15" s="1"/>
      <c r="C15" s="5">
        <v>4</v>
      </c>
      <c r="D15" s="5" t="s">
        <v>6</v>
      </c>
      <c r="E15" s="214"/>
      <c r="F15" s="214"/>
      <c r="G15" s="214"/>
      <c r="H15" s="214"/>
    </row>
    <row r="16" spans="1:8" ht="5.25" customHeight="1" x14ac:dyDescent="0.25">
      <c r="A16" s="214"/>
      <c r="B16" s="1"/>
      <c r="C16" s="2"/>
      <c r="D16" s="3"/>
      <c r="E16" s="214"/>
      <c r="F16" s="214"/>
      <c r="G16" s="214"/>
      <c r="H16" s="214"/>
    </row>
    <row r="17" spans="1:8" ht="16.5" x14ac:dyDescent="0.3">
      <c r="A17" s="214"/>
      <c r="B17" s="4" t="s">
        <v>9</v>
      </c>
      <c r="C17" s="2"/>
      <c r="D17" s="3"/>
      <c r="E17" s="214"/>
      <c r="F17" s="214"/>
      <c r="G17" s="214"/>
      <c r="H17" s="214"/>
    </row>
    <row r="18" spans="1:8" ht="33" x14ac:dyDescent="0.3">
      <c r="A18" s="214"/>
      <c r="B18" s="1"/>
      <c r="C18" s="5">
        <v>1</v>
      </c>
      <c r="D18" s="6" t="s">
        <v>10</v>
      </c>
      <c r="E18" s="214"/>
      <c r="F18" s="214"/>
      <c r="G18" s="214"/>
      <c r="H18" s="214"/>
    </row>
    <row r="19" spans="1:8" ht="31.5" x14ac:dyDescent="0.25">
      <c r="A19" s="214"/>
      <c r="B19" s="1"/>
      <c r="C19" s="5">
        <v>2</v>
      </c>
      <c r="D19" s="6" t="s">
        <v>11</v>
      </c>
      <c r="E19" s="214"/>
      <c r="F19" s="214"/>
      <c r="G19" s="214"/>
      <c r="H19" s="214"/>
    </row>
    <row r="20" spans="1:8" ht="15.75" x14ac:dyDescent="0.25">
      <c r="A20" s="214"/>
      <c r="B20" s="1"/>
      <c r="C20" s="5">
        <v>3</v>
      </c>
      <c r="D20" s="6" t="s">
        <v>6</v>
      </c>
      <c r="E20" s="214"/>
      <c r="F20" s="214"/>
      <c r="G20" s="214"/>
      <c r="H20" s="214"/>
    </row>
    <row r="21" spans="1:8" ht="16.5" x14ac:dyDescent="0.3">
      <c r="A21" s="214"/>
      <c r="B21" s="175"/>
      <c r="C21" s="5">
        <v>4</v>
      </c>
      <c r="D21" s="6" t="s">
        <v>12</v>
      </c>
      <c r="E21" s="214"/>
      <c r="F21" s="214"/>
      <c r="G21" s="214"/>
      <c r="H21" s="214"/>
    </row>
    <row r="22" spans="1:8" x14ac:dyDescent="0.25">
      <c r="A22" s="214"/>
      <c r="B22" s="214"/>
      <c r="C22" s="214"/>
      <c r="D22" s="214"/>
      <c r="E22" s="214"/>
      <c r="F22" s="214"/>
      <c r="G22" s="214"/>
      <c r="H22" s="214"/>
    </row>
    <row r="23" spans="1:8" x14ac:dyDescent="0.25">
      <c r="A23" s="214"/>
      <c r="B23" s="214"/>
      <c r="C23" s="214"/>
      <c r="D23" s="214"/>
      <c r="E23" s="214"/>
      <c r="F23" s="214"/>
      <c r="G23" s="214"/>
    </row>
    <row r="24" spans="1:8" hidden="1" x14ac:dyDescent="0.25"/>
    <row r="25" spans="1:8" hidden="1" x14ac:dyDescent="0.25">
      <c r="B25" s="27"/>
    </row>
  </sheetData>
  <mergeCells count="6">
    <mergeCell ref="A1:A23"/>
    <mergeCell ref="B1:D3"/>
    <mergeCell ref="E1:H22"/>
    <mergeCell ref="B4:D4"/>
    <mergeCell ref="B22:D23"/>
    <mergeCell ref="E23:G2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F01AC-7C7A-483F-AC0B-27521A3C55FE}">
  <sheetPr codeName="Sheet7"/>
  <dimension ref="A1:AB12"/>
  <sheetViews>
    <sheetView tabSelected="1" zoomScaleNormal="100" workbookViewId="0">
      <selection activeCell="B4" sqref="B4"/>
    </sheetView>
  </sheetViews>
  <sheetFormatPr defaultColWidth="0" defaultRowHeight="15" zeroHeight="1" x14ac:dyDescent="0.25"/>
  <cols>
    <col min="1" max="1" width="39.28515625" style="112" customWidth="1"/>
    <col min="2" max="2" width="27.7109375" style="112" customWidth="1"/>
    <col min="3" max="3" width="16" style="183" customWidth="1"/>
  </cols>
  <sheetData>
    <row r="1" spans="1:28" ht="48.75" customHeight="1" x14ac:dyDescent="0.25">
      <c r="A1"/>
      <c r="B1" s="218" t="s">
        <v>855</v>
      </c>
      <c r="C1" s="218"/>
    </row>
    <row r="2" spans="1:28" ht="21" customHeight="1" x14ac:dyDescent="0.25">
      <c r="A2" s="219" t="s">
        <v>480</v>
      </c>
      <c r="B2" s="219"/>
      <c r="C2" s="31" t="s">
        <v>1264</v>
      </c>
    </row>
    <row r="3" spans="1:28" s="112" customFormat="1" ht="31.5" x14ac:dyDescent="0.25">
      <c r="A3" s="32" t="s">
        <v>856</v>
      </c>
      <c r="B3" s="33"/>
      <c r="C3" s="110" t="s">
        <v>82</v>
      </c>
    </row>
    <row r="4" spans="1:28" s="112" customFormat="1" ht="15.75" x14ac:dyDescent="0.25">
      <c r="A4" s="32" t="s">
        <v>857</v>
      </c>
      <c r="B4" s="33"/>
      <c r="C4" s="115" t="s">
        <v>941</v>
      </c>
    </row>
    <row r="5" spans="1:28" s="112" customFormat="1" ht="15.75" x14ac:dyDescent="0.25">
      <c r="A5" s="32" t="s">
        <v>858</v>
      </c>
      <c r="B5" s="33"/>
      <c r="C5" s="115"/>
    </row>
    <row r="6" spans="1:28" s="112" customFormat="1" ht="15.75" x14ac:dyDescent="0.25">
      <c r="A6" s="32" t="s">
        <v>859</v>
      </c>
      <c r="B6" s="35"/>
      <c r="C6" s="115" t="s">
        <v>941</v>
      </c>
      <c r="AB6" s="203"/>
    </row>
    <row r="7" spans="1:28" s="112" customFormat="1" ht="15.75" x14ac:dyDescent="0.25">
      <c r="A7" s="32" t="s">
        <v>860</v>
      </c>
      <c r="B7" s="35" t="s">
        <v>941</v>
      </c>
      <c r="C7" s="115" t="s">
        <v>941</v>
      </c>
    </row>
    <row r="8" spans="1:28" s="112" customFormat="1" ht="37.5" customHeight="1" x14ac:dyDescent="0.25">
      <c r="A8" s="110" t="str">
        <f>IF(B8&lt;&gt;"",CONCATENATE("01/01/",B8),"")</f>
        <v>01/01/2016</v>
      </c>
      <c r="B8" s="184">
        <f>IF(RtnInf.RtnPrdFrom&lt;&gt;"",RIGHT(RtnInf.RtnPrdFrom,4),2016)</f>
        <v>2016</v>
      </c>
      <c r="C8" s="115" t="s">
        <v>941</v>
      </c>
    </row>
    <row r="9" spans="1:28" s="112" customFormat="1" ht="37.5" customHeight="1" x14ac:dyDescent="0.25">
      <c r="A9" s="110">
        <f>IF(RtnInf.RtnPrdFrom&lt;&gt;"",MID(RtnInf.RtnPrdFrom,4,2),1)</f>
        <v>1</v>
      </c>
      <c r="B9" s="110"/>
      <c r="C9" s="115" t="s">
        <v>941</v>
      </c>
    </row>
    <row r="10" spans="1:28" s="112" customFormat="1" ht="15" customHeight="1" x14ac:dyDescent="0.25">
      <c r="A10" s="110" t="str">
        <f>RIGHT(C2,LEN(C2)-8)</f>
        <v>26.0.8</v>
      </c>
      <c r="B10" s="110" t="str">
        <f>obligationId</f>
        <v>7</v>
      </c>
      <c r="C10" s="115"/>
    </row>
    <row r="11" spans="1:28" s="112" customFormat="1" ht="15" customHeight="1" x14ac:dyDescent="0.25">
      <c r="A11" s="110" t="str">
        <f>templateType</f>
        <v>XLSM</v>
      </c>
      <c r="B11" s="110" t="str">
        <f>officeVersion</f>
        <v>EXCEL 2010-2013</v>
      </c>
      <c r="C11" s="115"/>
    </row>
    <row r="12" spans="1:28" s="112" customFormat="1" ht="15" customHeight="1" x14ac:dyDescent="0.25">
      <c r="A12" s="110" t="str">
        <f>moduleId</f>
        <v>2</v>
      </c>
      <c r="B12" s="110" t="str">
        <f>formId</f>
        <v>47</v>
      </c>
      <c r="C12" s="115" t="s">
        <v>1122</v>
      </c>
    </row>
  </sheetData>
  <sheetProtection selectLockedCells="1"/>
  <mergeCells count="2">
    <mergeCell ref="B1:C1"/>
    <mergeCell ref="A2:B2"/>
  </mergeCells>
  <dataValidations xWindow="883" yWindow="600" count="4">
    <dataValidation type="list" allowBlank="1" showInputMessage="1" errorTitle="Data Error:" error="Please select data from DropDown Only." promptTitle="List:" prompt="Select data from DropDown List." sqref="B4" xr:uid="{353E3EF4-F5E6-4122-BB7C-B690EC202A6E}">
      <formula1>ReturnType</formula1>
    </dataValidation>
    <dataValidation type="list" allowBlank="1" showInputMessage="1" showErrorMessage="1" errorTitle="Data Error:" error="Please select data from DropDown Only." promptTitle="List:" prompt="Select data from DropDown List." sqref="B5" xr:uid="{EB4D8ADE-CE61-4CD8-AA9F-D8A11BE9BDA7}">
      <formula1>EntityType</formula1>
      <formula2>0</formula2>
    </dataValidation>
    <dataValidation type="textLength" allowBlank="1" showInputMessage="1" showErrorMessage="1" errorTitle="Data Error:" error="Please enter date value in dd/mm/yyyy format." promptTitle="Date:" prompt="Enter date value in dd/mm/yyyy format." sqref="B6:B7" xr:uid="{074641C8-2E6E-4CAF-8766-B617C944F51F}">
      <formula1>10</formula1>
      <formula2>10</formula2>
    </dataValidation>
    <dataValidation type="textLength" operator="lessThan" allowBlank="1" showInputMessage="1" showErrorMessage="1" error="Please enter employer's pin number in proper format." promptTitle="Please enter numeric value." sqref="B3" xr:uid="{1F0AC934-F98F-479A-8505-0688DC6DF0D1}">
      <formula1>16</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41639-7355-4B98-A04A-E13B6E0CE877}">
  <sheetPr codeName="Sheet9"/>
  <dimension ref="A1:AN10"/>
  <sheetViews>
    <sheetView topLeftCell="A2" zoomScaleNormal="100" workbookViewId="0">
      <selection activeCell="A5" sqref="A5"/>
    </sheetView>
  </sheetViews>
  <sheetFormatPr defaultColWidth="0" defaultRowHeight="15" zeroHeight="1" x14ac:dyDescent="0.25"/>
  <cols>
    <col min="1" max="35" width="27.7109375" customWidth="1"/>
    <col min="36" max="38" width="5.28515625" customWidth="1"/>
    <col min="39" max="39" width="5.7109375" customWidth="1"/>
  </cols>
  <sheetData>
    <row r="1" spans="1:40" ht="33.75" customHeight="1" x14ac:dyDescent="0.25">
      <c r="A1" s="222" t="s">
        <v>521</v>
      </c>
      <c r="B1" s="222"/>
      <c r="C1" s="222"/>
      <c r="D1" s="222"/>
      <c r="E1" s="222"/>
      <c r="F1" s="222"/>
      <c r="G1" s="222"/>
      <c r="H1" s="222"/>
      <c r="I1" s="222"/>
      <c r="J1" s="222"/>
      <c r="K1" s="222"/>
      <c r="L1" s="222"/>
      <c r="M1" s="222"/>
      <c r="N1" s="222"/>
      <c r="O1" s="222"/>
      <c r="P1" s="222"/>
      <c r="Q1" s="222"/>
      <c r="R1" s="222"/>
      <c r="S1" s="222"/>
      <c r="T1" s="222"/>
      <c r="U1" s="222"/>
      <c r="V1" s="222"/>
      <c r="W1" s="222"/>
      <c r="X1" s="222"/>
      <c r="Y1" s="222"/>
      <c r="Z1" s="222"/>
      <c r="AA1" s="222"/>
      <c r="AB1" s="222"/>
      <c r="AC1" s="222"/>
      <c r="AD1" s="222"/>
      <c r="AE1" s="222"/>
      <c r="AF1" s="222"/>
      <c r="AG1" s="222"/>
      <c r="AH1" s="222"/>
      <c r="AI1" s="37"/>
      <c r="AJ1" s="38"/>
      <c r="AK1" s="36"/>
      <c r="AL1" s="36"/>
      <c r="AM1" s="36"/>
    </row>
    <row r="2" spans="1:40" ht="21" customHeight="1" x14ac:dyDescent="0.25">
      <c r="A2" s="223"/>
      <c r="B2" s="223"/>
      <c r="C2" s="223"/>
      <c r="D2" s="223"/>
      <c r="E2" s="223" t="s">
        <v>861</v>
      </c>
      <c r="F2" s="223"/>
      <c r="G2" s="223"/>
      <c r="H2" s="223"/>
      <c r="I2" s="223"/>
      <c r="J2" s="223"/>
      <c r="K2" s="223"/>
      <c r="L2" s="223"/>
      <c r="M2" s="223"/>
      <c r="N2" s="223" t="s">
        <v>862</v>
      </c>
      <c r="O2" s="223"/>
      <c r="P2" s="223"/>
      <c r="Q2" s="223"/>
      <c r="R2" s="223" t="s">
        <v>863</v>
      </c>
      <c r="S2" s="223"/>
      <c r="T2" s="223"/>
      <c r="U2" s="223"/>
      <c r="V2" s="223"/>
      <c r="W2" s="223"/>
      <c r="X2" s="223" t="s">
        <v>864</v>
      </c>
      <c r="Y2" s="223"/>
      <c r="Z2" s="223"/>
      <c r="AA2" s="223"/>
      <c r="AB2" s="223"/>
      <c r="AC2" s="223"/>
      <c r="AD2" s="223"/>
      <c r="AE2" s="223"/>
      <c r="AF2" s="223"/>
      <c r="AG2" s="223"/>
      <c r="AH2" s="223"/>
      <c r="AI2" s="223"/>
      <c r="AJ2" s="36"/>
      <c r="AK2" s="36"/>
      <c r="AL2" s="36"/>
      <c r="AM2" s="36"/>
    </row>
    <row r="3" spans="1:40" ht="21" customHeight="1" x14ac:dyDescent="0.25">
      <c r="A3" s="223"/>
      <c r="B3" s="223"/>
      <c r="C3" s="223"/>
      <c r="D3" s="223"/>
      <c r="E3" s="223"/>
      <c r="F3" s="223"/>
      <c r="G3" s="223"/>
      <c r="H3" s="223"/>
      <c r="I3" s="223"/>
      <c r="J3" s="223"/>
      <c r="K3" s="223"/>
      <c r="L3" s="223"/>
      <c r="M3" s="223"/>
      <c r="N3" s="223"/>
      <c r="O3" s="223"/>
      <c r="P3" s="223"/>
      <c r="Q3" s="223"/>
      <c r="R3" s="223"/>
      <c r="S3" s="223"/>
      <c r="T3" s="223"/>
      <c r="U3" s="223"/>
      <c r="V3" s="223"/>
      <c r="W3" s="223"/>
      <c r="X3" s="223" t="s">
        <v>865</v>
      </c>
      <c r="Y3" s="223"/>
      <c r="Z3" s="223"/>
      <c r="AA3" s="223"/>
      <c r="AB3" s="223"/>
      <c r="AC3" s="223"/>
      <c r="AD3" s="223"/>
      <c r="AE3" s="223"/>
      <c r="AF3" s="223"/>
      <c r="AG3" s="223"/>
      <c r="AH3" s="223"/>
      <c r="AI3" s="223"/>
      <c r="AJ3" s="36"/>
      <c r="AK3" s="36"/>
      <c r="AL3" s="36"/>
      <c r="AM3" s="36"/>
    </row>
    <row r="4" spans="1:40" ht="99" x14ac:dyDescent="0.25">
      <c r="A4" s="39" t="s">
        <v>406</v>
      </c>
      <c r="B4" s="39" t="s">
        <v>407</v>
      </c>
      <c r="C4" s="39" t="s">
        <v>508</v>
      </c>
      <c r="D4" s="39" t="s">
        <v>509</v>
      </c>
      <c r="E4" s="39" t="s">
        <v>444</v>
      </c>
      <c r="F4" s="39" t="s">
        <v>445</v>
      </c>
      <c r="G4" s="39" t="s">
        <v>446</v>
      </c>
      <c r="H4" s="39" t="s">
        <v>447</v>
      </c>
      <c r="I4" s="39" t="s">
        <v>448</v>
      </c>
      <c r="J4" s="39" t="s">
        <v>449</v>
      </c>
      <c r="K4" s="39" t="s">
        <v>450</v>
      </c>
      <c r="L4" s="39" t="s">
        <v>451</v>
      </c>
      <c r="M4" s="39" t="s">
        <v>866</v>
      </c>
      <c r="N4" s="39" t="s">
        <v>867</v>
      </c>
      <c r="O4" s="39" t="s">
        <v>868</v>
      </c>
      <c r="P4" s="39" t="s">
        <v>869</v>
      </c>
      <c r="Q4" s="39" t="s">
        <v>870</v>
      </c>
      <c r="R4" s="39" t="s">
        <v>512</v>
      </c>
      <c r="S4" s="39" t="s">
        <v>871</v>
      </c>
      <c r="T4" s="39" t="s">
        <v>872</v>
      </c>
      <c r="U4" s="39" t="s">
        <v>873</v>
      </c>
      <c r="V4" s="39" t="s">
        <v>874</v>
      </c>
      <c r="W4" s="39" t="s">
        <v>875</v>
      </c>
      <c r="X4" s="39" t="s">
        <v>876</v>
      </c>
      <c r="Y4" s="39" t="s">
        <v>877</v>
      </c>
      <c r="Z4" s="39" t="s">
        <v>878</v>
      </c>
      <c r="AA4" s="39" t="s">
        <v>1209</v>
      </c>
      <c r="AB4" s="39" t="s">
        <v>1246</v>
      </c>
      <c r="AC4" s="39" t="s">
        <v>879</v>
      </c>
      <c r="AD4" s="39" t="s">
        <v>880</v>
      </c>
      <c r="AE4" s="39" t="s">
        <v>881</v>
      </c>
      <c r="AF4" s="39" t="s">
        <v>1136</v>
      </c>
      <c r="AG4" s="39" t="str">
        <f>IF(RtnInf.RtnYear&gt;"2023","Amount of Insurance/PRMF Relief (Total of ""Amount of Insurance/PRMF Relief"" from E_Computation_of_Insu_Relief) (Ksh) (S)","Amount of Insurance Relief (Total of ""Amount of Insurance Relief"" from E_Computation_of_Insu_Relief) (Ksh) (S)")</f>
        <v>Amount of Insurance Relief (Total of "Amount of Insurance Relief" from E_Computation_of_Insu_Relief) (Ksh) (S)</v>
      </c>
      <c r="AH4" s="39" t="s">
        <v>882</v>
      </c>
      <c r="AI4" s="39" t="s">
        <v>883</v>
      </c>
      <c r="AJ4" s="36"/>
      <c r="AK4" s="36"/>
      <c r="AL4" s="36"/>
      <c r="AM4" s="36"/>
    </row>
    <row r="5" spans="1:40" s="112" customFormat="1" ht="16.5" x14ac:dyDescent="0.3">
      <c r="A5" s="40" t="s">
        <v>941</v>
      </c>
      <c r="B5" s="40"/>
      <c r="C5" s="41"/>
      <c r="D5" s="40"/>
      <c r="E5" s="42"/>
      <c r="F5" s="42"/>
      <c r="G5" s="42"/>
      <c r="H5" s="42"/>
      <c r="I5" s="42"/>
      <c r="J5" s="42"/>
      <c r="K5" s="42"/>
      <c r="L5" s="42"/>
      <c r="M5" s="43" t="str">
        <f>IF(A5="","",SUM(E5:L5))</f>
        <v/>
      </c>
      <c r="N5" s="42"/>
      <c r="O5" s="42"/>
      <c r="P5" s="43" t="str">
        <f>IF(A5="","",IF(O5&gt;3000,SUM(N5:O5),N5))</f>
        <v/>
      </c>
      <c r="Q5" s="109"/>
      <c r="R5" s="41"/>
      <c r="S5" s="109"/>
      <c r="T5" s="43" t="str">
        <f>IF(A5="","",IF(AK5="",0,IF(AK5="0",0,IF(AK5="3",10*(SUM(M5,P5))/100,IF(AK5="4",IF(Q5="",0,15*Q5/100),IF((15*(SUM(M5,P5))/100)&gt;S5,(15*(SUM(M5,P5))/100),S5))))))</f>
        <v/>
      </c>
      <c r="U5" s="109"/>
      <c r="V5" s="43" t="str">
        <f>IF(A5="","",IF(ROUND(T5,2)-ROUND(U5,2)&lt;0,0,ROUND(T5,2)-ROUND(U5,2)))</f>
        <v/>
      </c>
      <c r="W5" s="43" t="str">
        <f>IF(A5="","",SUM(M5,P5,Q5,V5))</f>
        <v/>
      </c>
      <c r="X5" s="43" t="str">
        <f>IF(M5="","",IF(AND(C5="Resident",D5="Primary Employee"),30*M5/100,"0.00"))</f>
        <v/>
      </c>
      <c r="Y5" s="109"/>
      <c r="Z5" s="43" t="str">
        <f>IF(A5="","",IF(AND(C5="Resident",D5="Primary Employee"),20000,"0.00"))</f>
        <v/>
      </c>
      <c r="AA5" s="109"/>
      <c r="AB5" s="109"/>
      <c r="AC5" s="43" t="str">
        <f>IF(A5="","",IF(Y5&lt;&gt;"",IF(X5&lt;Y5,IF(X5&lt;Z5,X5,Z5),IF(Y5&lt;Z5,Y5,Z5)),IF(X5&lt;Z5,X5,Z5))+(IF(OR(AND(RtnInf.RtnMonth&gt;="03",RtnInf.RtnYear="2024"),RtnInf.RtnYear&gt;"2024"),AA5,IF(AA5&gt;AB5,AA5,AB5))))</f>
        <v/>
      </c>
      <c r="AD5" s="43" t="str">
        <f>IF(A5="","",ROUND(W5,2)-ROUND(AC5,2))</f>
        <v/>
      </c>
      <c r="AE5" s="43" t="str">
        <f>IF(AD5="","",getTotalTaxPayble(AD5,D5,RtnInf.RtnYear))</f>
        <v/>
      </c>
      <c r="AF5" s="109"/>
      <c r="AG5" s="109"/>
      <c r="AH5" s="43" t="str">
        <f>IF(A5="","",IF(OR(AND(RtnInf.RtnMonth&gt;="03",RtnInf.RtnYear="2024"),RtnInf.RtnYear&gt;"2024"),IF(AE5-AF5-AG5-AB5&lt;0,0,AE5-AF5-AG5-AB5),IF(AE5-AF5-AG5&lt;0,0,AE5-AF5-AG5)))</f>
        <v/>
      </c>
      <c r="AI5" s="166"/>
      <c r="AJ5" s="36" t="str">
        <f>IFERROR(LOOKUP(D5,TypeOFEmp,TypeOFEmpCode),"")</f>
        <v/>
      </c>
      <c r="AK5" s="36" t="str">
        <f>IFERROR(LOOKUP(R5,SortedTypeOfHousing,TypeOfHousingCode),"")</f>
        <v/>
      </c>
      <c r="AL5" s="36" t="str">
        <f>IFERROR(LOOKUP(C5,SortedResidentStatus,ResidentStatusCode),"")</f>
        <v/>
      </c>
      <c r="AM5" s="36" t="str">
        <f>IF(A5="","","DTEMP")</f>
        <v/>
      </c>
      <c r="AN5" s="167"/>
    </row>
    <row r="6" spans="1:40" s="112" customFormat="1" ht="20.25" customHeight="1" x14ac:dyDescent="0.3">
      <c r="A6" s="40" t="s">
        <v>941</v>
      </c>
      <c r="B6" s="40"/>
      <c r="C6" s="41"/>
      <c r="D6" s="40"/>
      <c r="E6" s="42"/>
      <c r="F6" s="42"/>
      <c r="G6" s="42"/>
      <c r="H6" s="42"/>
      <c r="I6" s="42"/>
      <c r="J6" s="42"/>
      <c r="K6" s="42"/>
      <c r="L6" s="42"/>
      <c r="M6" s="43" t="str">
        <f>IF(A6="","",SUM(E6:L6))</f>
        <v/>
      </c>
      <c r="N6" s="42"/>
      <c r="O6" s="42"/>
      <c r="P6" s="43" t="str">
        <f>IF(A6="","",IF(O6&gt;3000,SUM(N6:O6),N6))</f>
        <v/>
      </c>
      <c r="Q6" s="109"/>
      <c r="R6" s="41"/>
      <c r="S6" s="109"/>
      <c r="T6" s="43" t="str">
        <f>IF(A6="","",IF(AK6="",0,IF(AK6="0",0,IF(AK6="3",10*(SUM(M6,P6))/100,IF(AK6="4",IF(Q6="",0,15*Q6/100),IF((15*(SUM(M6,P6))/100)&gt;S6,(15*(SUM(M6,P6))/100),S6))))))</f>
        <v/>
      </c>
      <c r="U6" s="109"/>
      <c r="V6" s="43" t="str">
        <f>IF(A6="","",IF(ROUND(T6,2)-ROUND(U6,2)&lt;0,0,ROUND(T6,2)-ROUND(U6,2)))</f>
        <v/>
      </c>
      <c r="W6" s="43" t="str">
        <f>IF(A6="","",SUM(M6,P6,Q6,V6))</f>
        <v/>
      </c>
      <c r="X6" s="43" t="str">
        <f>IF(M6="","",IF(AND(C6="Resident",D6="Primary Employee"),30*M6/100,"0.00"))</f>
        <v/>
      </c>
      <c r="Y6" s="109"/>
      <c r="Z6" s="43" t="str">
        <f>IF(A6="","",IF(AND(C6="Resident",D6="Primary Employee"),20000,"0.00"))</f>
        <v/>
      </c>
      <c r="AA6" s="109"/>
      <c r="AB6" s="109"/>
      <c r="AC6" s="43" t="str">
        <f>IF(A6="","",IF(Y6&lt;&gt;"",IF(X6&lt;Y6,IF(X6&lt;Z6,X6,Z6),IF(Y6&lt;Z6,Y6,Z6)),IF(X6&lt;Z6,X6,Z6))+(IF(OR(AND(RtnInf.RtnMonth&gt;="03",RtnInf.RtnYear="2024"),RtnInf.RtnYear&gt;"2024"),AA6,IF(AA6&gt;AB6,AA6,AB6))))</f>
        <v/>
      </c>
      <c r="AD6" s="43" t="str">
        <f>IF(A6="","",ROUND(W6,2)-ROUND(AC6,2))</f>
        <v/>
      </c>
      <c r="AE6" s="43" t="str">
        <f>IF(AD6="","",getTotalTaxPayble(AD6,D6,RtnInf.RtnYear))</f>
        <v/>
      </c>
      <c r="AF6" s="109"/>
      <c r="AG6" s="109"/>
      <c r="AH6" s="43" t="str">
        <f>IF(A6="","",IF(OR(AND(RtnInf.RtnMonth&gt;="03",RtnInf.RtnYear="2024"),RtnInf.RtnYear&gt;"2024"),IF(AE6-AF6-AG6-AB6&lt;0,0,AE6-AF6-AG6-AB6),IF(AE6-AF6-AG6&lt;0,0,AE6-AF6-AG6)))</f>
        <v/>
      </c>
      <c r="AI6" s="166"/>
      <c r="AJ6" s="36" t="str">
        <f>IFERROR(LOOKUP(D6,TypeOFEmp,TypeOFEmpCode),"")</f>
        <v/>
      </c>
      <c r="AK6" s="36" t="str">
        <f>IFERROR(LOOKUP(R6,SortedTypeOfHousing,TypeOfHousingCode),"")</f>
        <v/>
      </c>
      <c r="AL6" s="36" t="str">
        <f>IFERROR(LOOKUP(C6,SortedResidentStatus,ResidentStatusCode),"")</f>
        <v/>
      </c>
      <c r="AM6" s="36" t="str">
        <f>IF(A6="","","DTEMP")</f>
        <v/>
      </c>
      <c r="AN6" s="167"/>
    </row>
    <row r="7" spans="1:40" ht="16.5" hidden="1" customHeight="1" x14ac:dyDescent="0.3">
      <c r="A7" s="220"/>
      <c r="B7" s="220"/>
      <c r="C7" s="220"/>
      <c r="D7" s="220"/>
      <c r="E7" s="220"/>
      <c r="F7" s="220"/>
      <c r="G7" s="220"/>
      <c r="H7" s="220"/>
      <c r="I7" s="220"/>
      <c r="J7" s="220"/>
      <c r="K7" s="220"/>
      <c r="L7" s="220"/>
      <c r="M7" s="220"/>
      <c r="N7" s="220"/>
      <c r="O7" s="220"/>
      <c r="P7" s="220"/>
      <c r="Q7" s="220"/>
      <c r="R7" s="220"/>
      <c r="S7" s="220"/>
      <c r="T7" s="220"/>
      <c r="U7" s="220"/>
      <c r="V7" s="220"/>
      <c r="W7" s="220"/>
      <c r="X7" s="220"/>
      <c r="Y7" s="220"/>
      <c r="Z7" s="220"/>
      <c r="AA7" s="220"/>
      <c r="AB7" s="220"/>
      <c r="AC7" s="220"/>
      <c r="AD7" s="220"/>
      <c r="AE7" s="220"/>
      <c r="AF7" s="220"/>
      <c r="AG7" s="220"/>
      <c r="AH7" s="46">
        <f ca="1">SUM(AH5:OFFSET(DtlsSalPdBftsPayeDedFrmEmpListTO,-1,0))</f>
        <v>0</v>
      </c>
      <c r="AI7" s="47">
        <f ca="1">SUM(AI5:OFFSET(DtlsSalPdBftsSelfPayTaxListTO,-1,0))</f>
        <v>0</v>
      </c>
      <c r="AJ7" s="36"/>
      <c r="AK7" s="36"/>
      <c r="AL7" s="36"/>
      <c r="AM7" s="36"/>
      <c r="AN7" s="45"/>
    </row>
    <row r="8" spans="1:40" ht="16.5" customHeight="1" x14ac:dyDescent="0.3">
      <c r="A8" s="221" t="s">
        <v>884</v>
      </c>
      <c r="B8" s="221"/>
      <c r="C8" s="221"/>
      <c r="D8" s="221"/>
      <c r="E8" s="221"/>
      <c r="F8" s="221"/>
      <c r="G8" s="221"/>
      <c r="H8" s="221"/>
      <c r="I8" s="221"/>
      <c r="J8" s="221"/>
      <c r="K8" s="221"/>
      <c r="L8" s="221"/>
      <c r="M8" s="221"/>
      <c r="N8" s="221"/>
      <c r="O8" s="221"/>
      <c r="P8" s="221"/>
      <c r="Q8" s="221"/>
      <c r="R8" s="221"/>
      <c r="S8" s="221"/>
      <c r="T8" s="221"/>
      <c r="U8" s="221"/>
      <c r="V8" s="221"/>
      <c r="W8" s="221"/>
      <c r="X8" s="221"/>
      <c r="Y8" s="221"/>
      <c r="Z8" s="221"/>
      <c r="AA8" s="221"/>
      <c r="AB8" s="221"/>
      <c r="AC8" s="221"/>
      <c r="AD8" s="221"/>
      <c r="AE8" s="221"/>
      <c r="AF8" s="221"/>
      <c r="AG8" s="221"/>
      <c r="AH8" s="43">
        <f ca="1">SUM(AH5:OFFSET(DtlsSalPdBftsPayeDedFrmEmpListTO,-1,0))</f>
        <v>0</v>
      </c>
      <c r="AI8" s="43">
        <f ca="1">SUM(AI5:OFFSET(DtlsSalPdBftsSelfPayTaxListTO,-1,0))</f>
        <v>0</v>
      </c>
      <c r="AJ8" s="36"/>
      <c r="AK8" s="36"/>
      <c r="AL8" s="36"/>
      <c r="AM8" s="36"/>
      <c r="AN8" s="45"/>
    </row>
    <row r="9" spans="1:40" ht="37.5" customHeight="1" x14ac:dyDescent="0.25">
      <c r="A9" s="36"/>
      <c r="B9" s="36"/>
      <c r="C9" s="36"/>
      <c r="D9" s="36"/>
      <c r="E9" s="36"/>
      <c r="F9" s="36"/>
      <c r="G9" s="36"/>
      <c r="H9" s="36"/>
      <c r="I9" s="36"/>
      <c r="J9" s="36"/>
      <c r="K9" s="36"/>
      <c r="L9" s="36"/>
      <c r="M9" s="36"/>
      <c r="N9" s="36"/>
      <c r="O9" s="36"/>
      <c r="P9" s="36"/>
      <c r="Q9" s="36"/>
      <c r="R9" s="36"/>
      <c r="S9" s="36"/>
      <c r="T9" s="36"/>
      <c r="U9" s="36"/>
      <c r="V9" s="36"/>
      <c r="W9" s="36"/>
      <c r="X9" s="36"/>
      <c r="Y9" s="36"/>
      <c r="Z9" s="36"/>
      <c r="AA9" s="36"/>
      <c r="AB9" s="36"/>
      <c r="AC9" s="36"/>
      <c r="AD9" s="36"/>
      <c r="AE9" s="36"/>
      <c r="AF9" s="36"/>
      <c r="AG9" s="48"/>
      <c r="AH9" s="36"/>
      <c r="AI9" s="36"/>
      <c r="AJ9" s="36"/>
      <c r="AK9" s="36"/>
      <c r="AL9" s="36"/>
      <c r="AM9" s="36"/>
    </row>
    <row r="10" spans="1:40" ht="37.5" customHeight="1" x14ac:dyDescent="0.25">
      <c r="A10" s="36"/>
      <c r="B10" s="36"/>
      <c r="C10" s="36"/>
      <c r="D10" s="36"/>
      <c r="E10" s="36"/>
      <c r="F10" s="36"/>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row>
  </sheetData>
  <sheetProtection selectLockedCells="1"/>
  <mergeCells count="13">
    <mergeCell ref="A7:AG7"/>
    <mergeCell ref="A8:AG8"/>
    <mergeCell ref="A1:AH1"/>
    <mergeCell ref="A2:D3"/>
    <mergeCell ref="E2:M3"/>
    <mergeCell ref="N2:P3"/>
    <mergeCell ref="Q2:Q3"/>
    <mergeCell ref="R2:V3"/>
    <mergeCell ref="W2:W3"/>
    <mergeCell ref="X2:AC2"/>
    <mergeCell ref="AD2:AI3"/>
    <mergeCell ref="X3:Z3"/>
    <mergeCell ref="AA3:AC3"/>
  </mergeCells>
  <dataValidations xWindow="288" yWindow="355" count="7">
    <dataValidation type="decimal" allowBlank="1" showInputMessage="1" showErrorMessage="1" errorTitle="Data Error : " error="Please enter positive numeric value of length less than or equal to 15 digit." promptTitle="Numeric :" prompt="Enter numeric value of length less than or equal to 15 digit." sqref="N5" xr:uid="{CE5A2074-9BB7-4426-819B-26721789EC1C}">
      <formula1>0</formula1>
      <formula2>999999999999999</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Q5:Q6 O5 S5:S6 U5:U6 Y5:Y6 AA5:AB6 AF5:AG6 AI5:AI6 N6:O6 E5:L6" xr:uid="{1334F187-92DB-4F74-8DEE-D755A8FCF315}">
      <formula1>0</formula1>
      <formula2>999999999999999</formula2>
    </dataValidation>
    <dataValidation type="list" allowBlank="1" showInputMessage="1" showErrorMessage="1" errorTitle="Data Error:" error="Please select data from DropDown Only." promptTitle="List:" prompt="Select data from DropDown List." sqref="D5:D6" xr:uid="{43F33D6D-5239-4DB3-9364-7FF6B60DD571}">
      <formula1>TypeOFEmp</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xr:uid="{2938231E-3184-4061-A313-5E5C063260D2}">
      <formula1>50</formula1>
      <formula2>0</formula2>
    </dataValidation>
    <dataValidation type="textLength" allowBlank="1" showInputMessage="1" showErrorMessage="1" errorTitle="Data Error:" error="Please enter PIN in proper format.  " promptTitle="Alphanumeric:" prompt="Enter 11 digit alphanumeric values for PIN. " sqref="A5:A6" xr:uid="{78815C84-219D-49DF-AB8C-836BAA1CDE1E}">
      <formula1>11</formula1>
      <formula2>11</formula2>
    </dataValidation>
    <dataValidation type="list" allowBlank="1" showInputMessage="1" showErrorMessage="1" errorTitle="Data Error:" error="Please select data from DropDown Only." promptTitle="List:" prompt="Select data from DropDown List. _x000a_" sqref="R5:R6" xr:uid="{6AAFD0E6-349E-4F2C-9789-FB3DB442A297}">
      <formula1>TypeOfHousing</formula1>
      <formula2>0</formula2>
    </dataValidation>
    <dataValidation type="list" allowBlank="1" showInputMessage="1" showErrorMessage="1" errorTitle="Data Error:" error="Please select data from DropDown Only." promptTitle="List:" prompt="Select data from DropDown List. _x000a_" sqref="C5:C6" xr:uid="{1B2EEB28-49DE-430C-8AB2-9609C9C22F19}">
      <formula1>ResidentStatus</formula1>
      <formula2>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B178B-E786-4BBA-8F0F-41C691680172}">
  <sheetPr codeName="Sheet10"/>
  <dimension ref="A1:AP10"/>
  <sheetViews>
    <sheetView workbookViewId="0">
      <selection activeCell="A5" sqref="A5"/>
    </sheetView>
  </sheetViews>
  <sheetFormatPr defaultColWidth="0" defaultRowHeight="15" zeroHeight="1" x14ac:dyDescent="0.25"/>
  <cols>
    <col min="1" max="37" width="27.7109375" customWidth="1"/>
    <col min="38" max="41" width="5" customWidth="1"/>
  </cols>
  <sheetData>
    <row r="1" spans="1:42" ht="33.75" customHeight="1" x14ac:dyDescent="0.25">
      <c r="A1" s="222" t="s">
        <v>566</v>
      </c>
      <c r="B1" s="222"/>
      <c r="C1" s="222"/>
      <c r="D1" s="222"/>
      <c r="E1" s="222"/>
      <c r="F1" s="222"/>
      <c r="G1" s="222"/>
      <c r="H1" s="222"/>
      <c r="I1" s="222"/>
      <c r="J1" s="222"/>
      <c r="K1" s="222"/>
      <c r="L1" s="222"/>
      <c r="M1" s="222"/>
      <c r="N1" s="222"/>
      <c r="O1" s="222"/>
      <c r="P1" s="222"/>
      <c r="Q1" s="222"/>
      <c r="R1" s="222"/>
      <c r="S1" s="222"/>
      <c r="T1" s="222"/>
      <c r="U1" s="222"/>
      <c r="V1" s="222"/>
      <c r="W1" s="222"/>
      <c r="X1" s="222"/>
      <c r="Y1" s="222"/>
      <c r="Z1" s="222"/>
      <c r="AA1" s="222"/>
      <c r="AB1" s="222"/>
      <c r="AC1" s="222"/>
      <c r="AD1" s="222"/>
      <c r="AE1" s="222"/>
      <c r="AF1" s="222"/>
      <c r="AG1" s="222"/>
      <c r="AH1" s="222"/>
      <c r="AI1" s="222"/>
      <c r="AJ1" s="222"/>
      <c r="AK1" s="222"/>
      <c r="AL1" s="38"/>
      <c r="AM1" s="36"/>
      <c r="AN1" s="36"/>
      <c r="AO1" s="36"/>
    </row>
    <row r="2" spans="1:42" ht="21" customHeight="1" x14ac:dyDescent="0.25">
      <c r="A2" s="223"/>
      <c r="B2" s="223"/>
      <c r="C2" s="223"/>
      <c r="D2" s="223"/>
      <c r="E2" s="223"/>
      <c r="F2" s="223" t="s">
        <v>861</v>
      </c>
      <c r="G2" s="223"/>
      <c r="H2" s="223"/>
      <c r="I2" s="223"/>
      <c r="J2" s="223"/>
      <c r="K2" s="223"/>
      <c r="L2" s="223"/>
      <c r="M2" s="223"/>
      <c r="N2" s="223"/>
      <c r="O2" s="223" t="s">
        <v>862</v>
      </c>
      <c r="P2" s="223"/>
      <c r="Q2" s="223"/>
      <c r="R2" s="223"/>
      <c r="S2" s="223" t="s">
        <v>863</v>
      </c>
      <c r="T2" s="223"/>
      <c r="U2" s="223"/>
      <c r="V2" s="223"/>
      <c r="W2" s="223"/>
      <c r="X2" s="223"/>
      <c r="Y2" s="223" t="s">
        <v>885</v>
      </c>
      <c r="Z2" s="223"/>
      <c r="AA2" s="223"/>
      <c r="AB2" s="223"/>
      <c r="AC2" s="223"/>
      <c r="AD2" s="223"/>
      <c r="AE2" s="225"/>
      <c r="AF2" s="225"/>
      <c r="AG2" s="225"/>
      <c r="AH2" s="225"/>
      <c r="AI2" s="225"/>
      <c r="AJ2" s="225"/>
      <c r="AK2" s="225"/>
      <c r="AL2" s="38"/>
      <c r="AM2" s="36"/>
      <c r="AN2" s="36"/>
      <c r="AO2" s="36"/>
    </row>
    <row r="3" spans="1:42" ht="21" customHeight="1" x14ac:dyDescent="0.25">
      <c r="A3" s="223"/>
      <c r="B3" s="223"/>
      <c r="C3" s="223"/>
      <c r="D3" s="223"/>
      <c r="E3" s="223"/>
      <c r="F3" s="223"/>
      <c r="G3" s="223"/>
      <c r="H3" s="223"/>
      <c r="I3" s="223"/>
      <c r="J3" s="223"/>
      <c r="K3" s="223"/>
      <c r="L3" s="223"/>
      <c r="M3" s="223"/>
      <c r="N3" s="223"/>
      <c r="O3" s="223"/>
      <c r="P3" s="223"/>
      <c r="Q3" s="223"/>
      <c r="R3" s="223"/>
      <c r="S3" s="223"/>
      <c r="T3" s="223"/>
      <c r="U3" s="223"/>
      <c r="V3" s="223"/>
      <c r="W3" s="223"/>
      <c r="X3" s="223"/>
      <c r="Y3" s="223" t="s">
        <v>865</v>
      </c>
      <c r="Z3" s="223"/>
      <c r="AA3" s="223"/>
      <c r="AB3" s="223"/>
      <c r="AC3" s="223"/>
      <c r="AD3" s="223"/>
      <c r="AE3" s="225"/>
      <c r="AF3" s="225"/>
      <c r="AG3" s="225"/>
      <c r="AH3" s="225"/>
      <c r="AI3" s="225"/>
      <c r="AJ3" s="225"/>
      <c r="AK3" s="225"/>
      <c r="AL3" s="38"/>
      <c r="AM3" s="36"/>
      <c r="AN3" s="36"/>
      <c r="AO3" s="36"/>
    </row>
    <row r="4" spans="1:42" ht="99" x14ac:dyDescent="0.25">
      <c r="A4" s="39" t="s">
        <v>406</v>
      </c>
      <c r="B4" s="39" t="s">
        <v>407</v>
      </c>
      <c r="C4" s="39" t="s">
        <v>508</v>
      </c>
      <c r="D4" s="39" t="s">
        <v>509</v>
      </c>
      <c r="E4" s="39" t="s">
        <v>565</v>
      </c>
      <c r="F4" s="39" t="s">
        <v>444</v>
      </c>
      <c r="G4" s="39" t="s">
        <v>445</v>
      </c>
      <c r="H4" s="39" t="s">
        <v>446</v>
      </c>
      <c r="I4" s="39" t="s">
        <v>447</v>
      </c>
      <c r="J4" s="39" t="s">
        <v>448</v>
      </c>
      <c r="K4" s="39" t="s">
        <v>449</v>
      </c>
      <c r="L4" s="39" t="s">
        <v>450</v>
      </c>
      <c r="M4" s="39" t="s">
        <v>451</v>
      </c>
      <c r="N4" s="39" t="s">
        <v>866</v>
      </c>
      <c r="O4" s="39" t="s">
        <v>886</v>
      </c>
      <c r="P4" s="39" t="s">
        <v>868</v>
      </c>
      <c r="Q4" s="39" t="s">
        <v>869</v>
      </c>
      <c r="R4" s="39" t="s">
        <v>870</v>
      </c>
      <c r="S4" s="39" t="s">
        <v>512</v>
      </c>
      <c r="T4" s="39" t="s">
        <v>871</v>
      </c>
      <c r="U4" s="39" t="s">
        <v>872</v>
      </c>
      <c r="V4" s="39" t="s">
        <v>873</v>
      </c>
      <c r="W4" s="39" t="s">
        <v>874</v>
      </c>
      <c r="X4" s="39" t="s">
        <v>887</v>
      </c>
      <c r="Y4" s="39" t="s">
        <v>876</v>
      </c>
      <c r="Z4" s="39" t="s">
        <v>877</v>
      </c>
      <c r="AA4" s="39" t="s">
        <v>878</v>
      </c>
      <c r="AB4" s="39" t="s">
        <v>1209</v>
      </c>
      <c r="AC4" s="198" t="s">
        <v>1246</v>
      </c>
      <c r="AD4" s="39" t="s">
        <v>879</v>
      </c>
      <c r="AE4" s="49" t="s">
        <v>888</v>
      </c>
      <c r="AF4" s="39" t="s">
        <v>889</v>
      </c>
      <c r="AG4" s="39" t="s">
        <v>890</v>
      </c>
      <c r="AH4" s="39" t="s">
        <v>1136</v>
      </c>
      <c r="AI4" s="49" t="str">
        <f>IF(RtnInf.RtnYear&gt;"2023","Amount of Insurance/PRMF Relief (Total of ""Amount of Insurance/PRMF Relief"" from E_Computation_of_Insu_Relief) (Ksh) (T)","Amount of Insurance Relief (Total of ""Amount of Insurance Relief"" from E_Computation_of_Insu_Relief) (Ksh) (T)")</f>
        <v>Amount of Insurance Relief (Total of "Amount of Insurance Relief" from E_Computation_of_Insu_Relief) (Ksh) (T)</v>
      </c>
      <c r="AJ4" s="50" t="s">
        <v>891</v>
      </c>
      <c r="AK4" s="51" t="s">
        <v>883</v>
      </c>
      <c r="AL4" s="36"/>
      <c r="AM4" s="36"/>
      <c r="AN4" s="36"/>
      <c r="AO4" s="36"/>
    </row>
    <row r="5" spans="1:42" ht="15.75" x14ac:dyDescent="0.25">
      <c r="A5" s="40" t="s">
        <v>941</v>
      </c>
      <c r="B5" s="40"/>
      <c r="C5" s="41"/>
      <c r="D5" s="40"/>
      <c r="E5" s="52"/>
      <c r="F5" s="42"/>
      <c r="G5" s="42"/>
      <c r="H5" s="42"/>
      <c r="I5" s="42"/>
      <c r="J5" s="42"/>
      <c r="K5" s="42"/>
      <c r="L5" s="42"/>
      <c r="M5" s="42"/>
      <c r="N5" s="53" t="str">
        <f>IF(A5="","",SUM(F5:M5))</f>
        <v/>
      </c>
      <c r="O5" s="42"/>
      <c r="P5" s="42"/>
      <c r="Q5" s="53" t="str">
        <f>IF(A5="","",IF(P5&gt;3000,SUM(O5:P5),O5))</f>
        <v/>
      </c>
      <c r="R5" s="114"/>
      <c r="S5" s="41"/>
      <c r="T5" s="109"/>
      <c r="U5" s="53" t="str">
        <f>IF(A5="","",IF(AM5="",0,IF(AM5="0",0,IF(AM5="3",10*(SUM(N5,Q5))/100,IF(AM5="4",IF(R5="",0,R5*15/100),IF((15*(SUM(N5,Q5))/100)&gt;T5,(15*(SUM(N5,Q5))/100),T5))))))</f>
        <v/>
      </c>
      <c r="V5" s="113"/>
      <c r="W5" s="55" t="str">
        <f>IF(A5="","",IF(ROUND(U5,2)-ROUND(V5,2)&lt;0,0,ROUND(U5,2)-ROUND(V5,2)))</f>
        <v/>
      </c>
      <c r="X5" s="53" t="str">
        <f>IF(A5="","",SUM(N5,Q5,R5,W5))</f>
        <v/>
      </c>
      <c r="Y5" s="55" t="str">
        <f>IF(N5="","",IF(AND(C5="Resident",D5="Primary Employee"),30*N5/100,"0.00"))</f>
        <v/>
      </c>
      <c r="Z5" s="113"/>
      <c r="AA5" s="55" t="str">
        <f>IF(A5="","",IF(AND(C5="Resident",D5="Primary Employee"),20000,"0.00"))</f>
        <v/>
      </c>
      <c r="AB5" s="113"/>
      <c r="AC5" s="113"/>
      <c r="AD5" s="53" t="str">
        <f>IF(A5="","",IF(Z5&lt;&gt;"",IF(Y5&lt;Z5,IF(Y5&lt;AA5,Y5,AA5),IF(Z5&lt;AA5,Z5,AA5)),IF(Y5&lt;AA5,Y5,AA5))+(IF(OR(AND(RtnInf.RtnMonth&gt;="03",RtnInf.RtnYear="2024"),RtnInf.RtnYear&gt;"2024"),AB5,IF(AB5&gt;AC5,AB5,AC5))))</f>
        <v/>
      </c>
      <c r="AE5" s="53" t="str">
        <f>IF(A5="","",150000)</f>
        <v/>
      </c>
      <c r="AF5" s="55" t="str">
        <f>IF(A5="","",IF(ROUND(X5,2)-ROUND(AD5,2)-ROUND(AE5,2)&lt;0,0,ROUND(X5,2)-ROUND(AD5,2)-ROUND(AE5,2)))</f>
        <v/>
      </c>
      <c r="AG5" s="53" t="str">
        <f>IF(AF5="","",getTotalTaxPayble(AF5,D5,RtnInf.RtnYear))</f>
        <v/>
      </c>
      <c r="AH5" s="114"/>
      <c r="AI5" s="114"/>
      <c r="AJ5" s="56" t="str">
        <f>IF(A5="","",IF(OR(AND(RtnInf.RtnMonth&gt;="03",RtnInf.RtnYear="2024"),RtnInf.RtnYear&gt;"2024"),IF(AG5-AH5-AI5-AC5&lt;0,0,AG5-AH5-AI5-AC5),IF(AG5-AH5-AI5&lt;0,0,AG5-AH5-AI5)))</f>
        <v/>
      </c>
      <c r="AK5" s="42"/>
      <c r="AL5" s="36" t="str">
        <f>IFERROR(LOOKUP(D5,TypeOFEmp,TypeOFEmpCode),"")</f>
        <v/>
      </c>
      <c r="AM5" s="36" t="str">
        <f>IFERROR(LOOKUP(S5,SortedTypeOfHousing,TypeOfHousingCode),"")</f>
        <v/>
      </c>
      <c r="AN5" s="110" t="str">
        <f>IFERROR(LOOKUP(C5,SortedResidentStatus,ResidentStatusCode),"")</f>
        <v/>
      </c>
      <c r="AO5" s="36" t="str">
        <f>IF(A5="","","DTDSBEMP")</f>
        <v/>
      </c>
      <c r="AP5" s="45"/>
    </row>
    <row r="6" spans="1:42" ht="15.75" x14ac:dyDescent="0.25">
      <c r="A6" s="40" t="s">
        <v>941</v>
      </c>
      <c r="B6" s="40"/>
      <c r="C6" s="41"/>
      <c r="D6" s="40"/>
      <c r="E6" s="52"/>
      <c r="F6" s="42"/>
      <c r="G6" s="42"/>
      <c r="H6" s="42"/>
      <c r="I6" s="42"/>
      <c r="J6" s="42"/>
      <c r="K6" s="42"/>
      <c r="L6" s="42"/>
      <c r="M6" s="42"/>
      <c r="N6" s="54" t="str">
        <f>IF(A6="","",SUM(F6:M6))</f>
        <v/>
      </c>
      <c r="O6" s="42"/>
      <c r="P6" s="42"/>
      <c r="Q6" s="54" t="str">
        <f>IF(A6="","",IF(P6&gt;3000,SUM(O6:P6),O6))</f>
        <v/>
      </c>
      <c r="R6" s="113"/>
      <c r="S6" s="41"/>
      <c r="T6" s="109"/>
      <c r="U6" s="53" t="str">
        <f>IF(A6="","",IF(AM6="",0,IF(AM6="0",0,IF(AM6="3",10*(SUM(N6,Q6))/100,IF(AM6="4",IF(R6="",0,R6*15/100),IF((15*(SUM(N6,Q6))/100)&gt;T6,(15*(SUM(N6,Q6))/100),T6))))))</f>
        <v/>
      </c>
      <c r="V6" s="113"/>
      <c r="W6" s="55" t="str">
        <f>IF(A6="","",IF(ROUND(U6,2)-ROUND(V6,2)&lt;0,0,ROUND(U6,2)-ROUND(V6,2)))</f>
        <v/>
      </c>
      <c r="X6" s="53" t="str">
        <f>IF(A6="","",SUM(N6,Q6,R6,W6))</f>
        <v/>
      </c>
      <c r="Y6" s="44" t="str">
        <f>IF(N6="","",IF(AND(C6="Resident",D6="Primary Employee"),30*N6/100,"0.00"))</f>
        <v/>
      </c>
      <c r="Z6" s="113"/>
      <c r="AA6" s="44" t="str">
        <f>IF(A6="","",IF(AND(C6="Resident",D6="Primary Employee"),20000,"0.00"))</f>
        <v/>
      </c>
      <c r="AB6" s="113"/>
      <c r="AC6" s="113"/>
      <c r="AD6" s="53" t="str">
        <f>IF(A6="","",IF(Z6&lt;&gt;"",IF(Y6&lt;Z6,IF(Y6&lt;AA6,Y6,AA6),IF(Z6&lt;AA6,Z6,AA6)),IF(Y6&lt;AA6,Y6,AA6))+(IF(OR(AND(RtnInf.RtnMonth&gt;="03",RtnInf.RtnYear="2024"),RtnInf.RtnYear&gt;"2024"),AB6,IF(AB6&gt;AC6,AB6,AC6))))</f>
        <v/>
      </c>
      <c r="AE6" s="53" t="str">
        <f>IF(A6="","",150000)</f>
        <v/>
      </c>
      <c r="AF6" s="55" t="str">
        <f>IF(A6="","",IF(ROUND(X6,2)-ROUND(AD6,2)-ROUND(AE6,2)&lt;0,0,ROUND(X6,2)-ROUND(AD6,2)-ROUND(AE6,2)))</f>
        <v/>
      </c>
      <c r="AG6" s="54" t="str">
        <f>IF(AF6="","",getTotalTaxPayble(AF6,D6,RtnInf.RtnYear))</f>
        <v/>
      </c>
      <c r="AH6" s="114"/>
      <c r="AI6" s="114"/>
      <c r="AJ6" s="57" t="str">
        <f>IF(A6="","",IF(OR(AND(RtnInf.RtnMonth&gt;="03",RtnInf.RtnYear="2024"),RtnInf.RtnYear&gt;"2024"),IF(AG6-AH6-AI6-AC6&lt;0,0,AG6-AH6-AI6-AC6),IF(AG6-AH6-AI6&lt;0,0,AG6-AH6-AI6)))</f>
        <v/>
      </c>
      <c r="AK6" s="42"/>
      <c r="AL6" s="36" t="str">
        <f>IFERROR(LOOKUP(D6,TypeOFEmp,TypeOFEmpCode),"")</f>
        <v/>
      </c>
      <c r="AM6" s="36" t="str">
        <f>IFERROR(LOOKUP(S6,SortedTypeOfHousing,TypeOfHousingCode),"")</f>
        <v/>
      </c>
      <c r="AN6" s="36" t="str">
        <f>IFERROR(LOOKUP(C6,SortedResidentStatus,ResidentStatusCode),"")</f>
        <v/>
      </c>
      <c r="AO6" s="36" t="str">
        <f>IF(A6="","","DTDSBEMP")</f>
        <v/>
      </c>
      <c r="AP6" s="45"/>
    </row>
    <row r="7" spans="1:42" ht="15.75" hidden="1" x14ac:dyDescent="0.25">
      <c r="A7" s="58"/>
      <c r="B7" s="59"/>
      <c r="C7" s="60"/>
      <c r="D7" s="59"/>
      <c r="E7" s="61"/>
      <c r="F7" s="62"/>
      <c r="G7" s="62"/>
      <c r="H7" s="62"/>
      <c r="I7" s="62"/>
      <c r="J7" s="62"/>
      <c r="K7" s="62"/>
      <c r="L7" s="62"/>
      <c r="M7" s="62"/>
      <c r="N7" s="63"/>
      <c r="O7" s="63"/>
      <c r="P7" s="62"/>
      <c r="Q7" s="63"/>
      <c r="R7" s="63"/>
      <c r="S7" s="60"/>
      <c r="T7" s="64"/>
      <c r="U7" s="63"/>
      <c r="V7" s="63"/>
      <c r="W7" s="64"/>
      <c r="X7" s="63"/>
      <c r="Y7" s="64"/>
      <c r="Z7" s="63"/>
      <c r="AA7" s="64"/>
      <c r="AB7" s="63"/>
      <c r="AC7" s="63"/>
      <c r="AD7" s="63"/>
      <c r="AE7" s="63"/>
      <c r="AF7" s="64"/>
      <c r="AG7" s="63"/>
      <c r="AH7" s="63"/>
      <c r="AI7" s="62"/>
      <c r="AJ7" s="65"/>
      <c r="AK7" s="42"/>
      <c r="AL7" s="36"/>
      <c r="AM7" s="36"/>
      <c r="AN7" s="36"/>
      <c r="AO7" s="36"/>
      <c r="AP7" s="45"/>
    </row>
    <row r="8" spans="1:42" ht="16.5" customHeight="1" x14ac:dyDescent="0.3">
      <c r="A8" s="224" t="s">
        <v>884</v>
      </c>
      <c r="B8" s="224"/>
      <c r="C8" s="224"/>
      <c r="D8" s="224"/>
      <c r="E8" s="224"/>
      <c r="F8" s="224"/>
      <c r="G8" s="224"/>
      <c r="H8" s="224"/>
      <c r="I8" s="224"/>
      <c r="J8" s="224"/>
      <c r="K8" s="224"/>
      <c r="L8" s="224"/>
      <c r="M8" s="224"/>
      <c r="N8" s="224"/>
      <c r="O8" s="224"/>
      <c r="P8" s="224"/>
      <c r="Q8" s="224"/>
      <c r="R8" s="224"/>
      <c r="S8" s="224"/>
      <c r="T8" s="224"/>
      <c r="U8" s="224"/>
      <c r="V8" s="224"/>
      <c r="W8" s="224"/>
      <c r="X8" s="224"/>
      <c r="Y8" s="224"/>
      <c r="Z8" s="224"/>
      <c r="AA8" s="224"/>
      <c r="AB8" s="224"/>
      <c r="AC8" s="224"/>
      <c r="AD8" s="224"/>
      <c r="AE8" s="224"/>
      <c r="AF8" s="224"/>
      <c r="AG8" s="224"/>
      <c r="AH8" s="224"/>
      <c r="AI8" s="224"/>
      <c r="AJ8" s="66">
        <f ca="1">SUM(AJ5:OFFSET(DtlsSalPdBftsPayeDedFrmDsblEmpListTO,-1,0))</f>
        <v>0</v>
      </c>
      <c r="AK8" s="43">
        <f ca="1">SUM(AK5:OFFSET(DtlsSalPdBftsSelfPayTaxDEListTO,-1,0))</f>
        <v>0</v>
      </c>
      <c r="AL8" s="36"/>
      <c r="AM8" s="36"/>
      <c r="AN8" s="67"/>
      <c r="AO8" s="36"/>
    </row>
    <row r="9" spans="1:42" ht="36.75" customHeight="1" x14ac:dyDescent="0.25">
      <c r="A9" s="36"/>
      <c r="B9" s="36"/>
      <c r="C9" s="36"/>
      <c r="D9" s="36" t="s">
        <v>892</v>
      </c>
      <c r="E9" s="36"/>
      <c r="F9" s="36"/>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row>
    <row r="10" spans="1:42" ht="36.75" customHeight="1" x14ac:dyDescent="0.25">
      <c r="A10" s="36"/>
      <c r="B10" s="36"/>
      <c r="C10" s="36"/>
      <c r="D10" s="36"/>
      <c r="E10" s="36"/>
      <c r="F10" s="36"/>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row>
  </sheetData>
  <sheetProtection selectLockedCells="1"/>
  <mergeCells count="12">
    <mergeCell ref="A8:AI8"/>
    <mergeCell ref="A1:AK1"/>
    <mergeCell ref="A2:E3"/>
    <mergeCell ref="F2:N3"/>
    <mergeCell ref="O2:Q3"/>
    <mergeCell ref="R2:R3"/>
    <mergeCell ref="S2:W3"/>
    <mergeCell ref="X2:X3"/>
    <mergeCell ref="Y2:AD2"/>
    <mergeCell ref="AE2:AK3"/>
    <mergeCell ref="Y3:AA3"/>
    <mergeCell ref="AB3:AD3"/>
  </mergeCells>
  <dataValidations xWindow="696" yWindow="489" count="8">
    <dataValidation type="decimal" allowBlank="1" showInputMessage="1" showErrorMessage="1" errorTitle="Data Error:" error="Please enter positive numeric value of length less than or equal to 15 digit." promptTitle="Numeric:" prompt="Enter numeric value of length less than or equal to 15 digit." sqref="F5:M7 O5:P6 R5:R7 T5:T7 V5:V7 Z5:Z7 AB5:AC7 AH5:AI7 AK5:AK7 P7" xr:uid="{4B978F3B-2D89-494C-8A0C-7CDDCB1DCA12}">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7" xr:uid="{8C8D9229-6BAE-4A78-8A22-81844F89FFEC}">
      <formula1>50</formula1>
      <formula2>0</formula2>
    </dataValidation>
    <dataValidation type="textLength" allowBlank="1" showInputMessage="1" showErrorMessage="1" errorTitle="Data Error:" error="Please enter PIN in proper format.  " promptTitle="Alphanumeric:" prompt="Enter 11 digit alphanumeric values for PIN. " sqref="A5:A7" xr:uid="{90931DBE-7FED-43FE-ABF2-3586F0A94BDA}">
      <formula1>11</formula1>
      <formula2>11</formula2>
    </dataValidation>
    <dataValidation type="list" allowBlank="1" showInputMessage="1" showErrorMessage="1" errorTitle="Data Error:" error="Please select data from DropDown Only." promptTitle="List:" prompt="Select data from DropDown List. _x000a_" sqref="S5:S7" xr:uid="{5DE09D6F-A62E-4C40-805C-0DF86F83704E}">
      <formula1>TypeOfHousing</formula1>
      <formula2>0</formula2>
    </dataValidation>
    <dataValidation type="list" allowBlank="1" showInputMessage="1" showErrorMessage="1" errorTitle="Data Error:" error="Please select data from DropDown Only." promptTitle="List:" prompt="Select data from DropDown List." sqref="D5:D7" xr:uid="{4B5B96D5-1059-4AF0-83FF-1CD678D2D233}">
      <formula1>TypeOFEmp</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E6:E7" xr:uid="{69FE5EA2-131F-4704-8087-55183147A613}">
      <formula1>20</formula1>
      <formula2>0</formula2>
    </dataValidation>
    <dataValidation type="list" allowBlank="1" showInputMessage="1" showErrorMessage="1" errorTitle="Data Error:" error="Please select data from DropDown Only." promptTitle="List:" prompt="Select data from DropDown List. _x000a_" sqref="C5:C7" xr:uid="{AE3A409F-21BC-4790-B586-FEEA04CC6B1F}">
      <formula1>ResidentStatus</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Only Special characters like ( space : - , / . \n ' &amp; ( ) ` $ % { } ! |  # :) are allowed." sqref="E5" xr:uid="{7CFBC1C7-09FF-4C80-B2D2-7E84B44F1CFC}">
      <formula1>20</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207AB-9AF9-43C5-B0A5-F908A1E69DA5}">
  <sheetPr codeName="Sheet5"/>
  <dimension ref="A1:O7"/>
  <sheetViews>
    <sheetView workbookViewId="0">
      <selection activeCell="A3" sqref="A3"/>
    </sheetView>
  </sheetViews>
  <sheetFormatPr defaultColWidth="0" defaultRowHeight="15" zeroHeight="1" x14ac:dyDescent="0.25"/>
  <cols>
    <col min="1" max="10" width="27.7109375" customWidth="1"/>
    <col min="11" max="14" width="3.5703125" customWidth="1"/>
    <col min="15" max="15" width="5" style="36" customWidth="1"/>
  </cols>
  <sheetData>
    <row r="1" spans="1:15" ht="33.75" customHeight="1" x14ac:dyDescent="0.25">
      <c r="A1" s="226" t="s">
        <v>620</v>
      </c>
      <c r="B1" s="226"/>
      <c r="C1" s="226"/>
      <c r="D1" s="226"/>
      <c r="E1" s="226"/>
      <c r="F1" s="226"/>
      <c r="G1" s="226"/>
      <c r="H1" s="226"/>
      <c r="I1" s="226"/>
      <c r="J1" s="226"/>
      <c r="K1" s="36"/>
      <c r="L1" s="36"/>
      <c r="M1" s="36"/>
      <c r="N1" s="36"/>
    </row>
    <row r="2" spans="1:15" ht="33" x14ac:dyDescent="0.25">
      <c r="A2" s="51" t="s">
        <v>406</v>
      </c>
      <c r="B2" s="51" t="s">
        <v>612</v>
      </c>
      <c r="C2" s="51" t="s">
        <v>613</v>
      </c>
      <c r="D2" s="51" t="s">
        <v>396</v>
      </c>
      <c r="E2" s="51" t="s">
        <v>614</v>
      </c>
      <c r="F2" s="51" t="s">
        <v>615</v>
      </c>
      <c r="G2" s="51" t="s">
        <v>616</v>
      </c>
      <c r="H2" s="51" t="s">
        <v>893</v>
      </c>
      <c r="I2" s="51" t="s">
        <v>894</v>
      </c>
      <c r="J2" s="51" t="s">
        <v>895</v>
      </c>
      <c r="K2" s="36"/>
      <c r="L2" s="36"/>
      <c r="M2" s="36"/>
      <c r="N2" s="36"/>
    </row>
    <row r="3" spans="1:15" s="27" customFormat="1" ht="15.75" x14ac:dyDescent="0.25">
      <c r="A3" s="68" t="s">
        <v>941</v>
      </c>
      <c r="B3" s="69"/>
      <c r="C3" s="68"/>
      <c r="D3" s="68"/>
      <c r="E3" s="69"/>
      <c r="F3" s="70"/>
      <c r="G3" s="69"/>
      <c r="H3" s="113"/>
      <c r="I3" s="169"/>
      <c r="J3" s="54" t="str">
        <f>IF(AND(I3&lt;&gt;"",I3&lt;&gt;0),IF(E3="","",ROUND(IF(E3="Saloon Hatch Backs and Estates",IF(LOOKUP(F3,{0,1201,1501,1751,2001,3001},{43200,50400,69600,86400,103200,172800})/12&gt;(I3*2%),LOOKUP(F3,{0,1201,1501,1751,2001,3001},{43200,50400,69600,86400,103200,172800})/12,I3*2%),IF(E3="Pick Ups, Panel Vans Uncovered",IF(LOOKUP(F3,{0,1751},{43200,50400})/12&gt;(I3*2%),LOOKUP(F3,{0,1751},{43200,50400})/12,I3*2%),IF(E3="Land Rovers/ Cruisers(excludes Range Rovers and vehicles of similar nature)",IF(86400/12&gt;I3*2%,86400/12,I3*2%),0))),2)),IF(H3="","",ROUND(H3,2)))</f>
        <v/>
      </c>
      <c r="K3" s="36" t="str">
        <f>IFERROR(LOOKUP(E3,SortedBodyType,BodyTypeCode),"")</f>
        <v/>
      </c>
      <c r="L3" s="36" t="str">
        <f>IFERROR(LOOKUP(G3,SortedCarType,CarTypeCode),"")</f>
        <v/>
      </c>
      <c r="M3" s="36" t="str">
        <f>IFERROR(LOOKUP(B3,RefSchedules,RefSchedulesCode),"")</f>
        <v/>
      </c>
      <c r="N3" s="36" t="str">
        <f>CONCATENATE(A3,B3)</f>
        <v/>
      </c>
      <c r="O3" s="36" t="str">
        <f>CONCATENATE(A3,C3)</f>
        <v/>
      </c>
    </row>
    <row r="4" spans="1:15" s="27" customFormat="1" ht="15.75" x14ac:dyDescent="0.25">
      <c r="A4" s="40" t="s">
        <v>941</v>
      </c>
      <c r="B4" s="73"/>
      <c r="C4" s="72"/>
      <c r="D4" s="72"/>
      <c r="E4" s="73"/>
      <c r="F4" s="74"/>
      <c r="G4" s="73"/>
      <c r="H4" s="114"/>
      <c r="I4" s="168"/>
      <c r="J4" s="54" t="str">
        <f>IF(AND(I4&lt;&gt;"",I4&lt;&gt;0),IF(E4="","",ROUND(IF(E4="Saloon Hatch Backs and Estates",IF(LOOKUP(F4,{0,1201,1501,1751,2001,3001},{43200,50400,69600,86400,103200,172800})/12&gt;(I4*2%),LOOKUP(F4,{0,1201,1501,1751,2001,3001},{43200,50400,69600,86400,103200,172800})/12,I4*2%),IF(E4="Pick Ups, Panel Vans Uncovered",IF(LOOKUP(F4,{0,1751},{43200,50400})/12&gt;(I4*2%),LOOKUP(F4,{0,1751},{43200,50400})/12,I4*2%),IF(E4="Land Rovers/ Cruisers(excludes Range Rovers and vehicles of similar nature)",IF(86400/12&gt;I4*2%,86400/12,I4*2%),0))),2)),IF(H4="","",ROUND(H4,2)))</f>
        <v/>
      </c>
      <c r="K4" s="36" t="str">
        <f>IFERROR(LOOKUP(E4,SortedBodyType,BodyTypeCode),"")</f>
        <v/>
      </c>
      <c r="L4" s="36" t="str">
        <f>IFERROR(LOOKUP(G4,SortedCarType,CarTypeCode),"")</f>
        <v/>
      </c>
      <c r="M4" s="36" t="str">
        <f>IFERROR(LOOKUP(B4,RefSchedules,RefSchedulesCode),"")</f>
        <v/>
      </c>
      <c r="N4" s="36" t="str">
        <f>CONCATENATE(A4,B4)</f>
        <v/>
      </c>
      <c r="O4" s="36" t="str">
        <f>CONCATENATE(A4,C4)</f>
        <v/>
      </c>
    </row>
    <row r="5" spans="1:15" ht="18" customHeight="1" x14ac:dyDescent="0.3">
      <c r="A5" s="227" t="s">
        <v>884</v>
      </c>
      <c r="B5" s="227"/>
      <c r="C5" s="227"/>
      <c r="D5" s="227"/>
      <c r="E5" s="227"/>
      <c r="F5" s="227"/>
      <c r="G5" s="227"/>
      <c r="H5" s="227"/>
      <c r="I5" s="227"/>
      <c r="J5" s="43">
        <f ca="1">SUM(J3:OFFSET(CarBenefitListTO,-1,0))</f>
        <v>0</v>
      </c>
      <c r="K5" s="36"/>
      <c r="L5" s="36"/>
      <c r="M5" s="36"/>
      <c r="N5" s="36"/>
    </row>
    <row r="6" spans="1:15" ht="37.5" customHeight="1" x14ac:dyDescent="0.25">
      <c r="A6" s="36"/>
      <c r="B6" s="36"/>
      <c r="C6" s="36"/>
      <c r="D6" s="36"/>
      <c r="E6" s="36"/>
      <c r="F6" s="36"/>
      <c r="G6" s="36"/>
      <c r="H6" s="36"/>
      <c r="I6" s="36"/>
      <c r="J6" s="36"/>
      <c r="K6" s="36"/>
      <c r="L6" s="36"/>
      <c r="M6" s="36"/>
      <c r="N6" s="36"/>
    </row>
    <row r="7" spans="1:15" ht="37.5" customHeight="1" x14ac:dyDescent="0.25">
      <c r="A7" s="36"/>
      <c r="B7" s="36"/>
      <c r="C7" s="36"/>
      <c r="D7" s="36"/>
      <c r="E7" s="36"/>
      <c r="F7" s="36"/>
      <c r="G7" s="36"/>
      <c r="H7" s="36"/>
      <c r="I7" s="36"/>
      <c r="J7" s="36"/>
      <c r="K7" s="36"/>
      <c r="L7" s="36"/>
      <c r="M7" s="36"/>
      <c r="N7" s="36"/>
    </row>
  </sheetData>
  <sheetProtection selectLockedCells="1"/>
  <mergeCells count="2">
    <mergeCell ref="A1:J1"/>
    <mergeCell ref="A5:I5"/>
  </mergeCells>
  <dataValidations xWindow="1251" yWindow="571" count="8">
    <dataValidation type="decimal" allowBlank="1" showInputMessage="1" showErrorMessage="1" errorTitle="Data Error:" error="Please enter positive numeric value of length less than or equal to 15 digit." promptTitle="Numeric:" prompt="Enter numeric value of length less than or equal to 15 digit." sqref="H3:I4 F3:F4" xr:uid="{AE84A7A4-C6C2-4452-8149-915AF42A98B2}">
      <formula1>0</formula1>
      <formula2>999999999999999</formula2>
    </dataValidation>
    <dataValidation type="textLength" allowBlank="1" showInputMessage="1" showErrorMessage="1" errorTitle="Data Error:" error="Please enter PIN in proper format.  " promptTitle="Alphanumeric:" prompt="Enter 11 digit alphanumeric values for PIN. " sqref="A3:A4" xr:uid="{A1CEB705-BEA9-4A06-97A5-6B95973A32E6}">
      <formula1>11</formula1>
      <formula2>11</formula2>
    </dataValidation>
    <dataValidation type="decimal" allowBlank="1" errorTitle="Data Error:" error="Please enter positive numeric value of length less than or equal to 15 digit." promptTitle="Numeric:" prompt="Enter numeric value of length less than or equal to 15 digit." sqref="J3:J4" xr:uid="{27A3AA25-F43F-4B7B-B551-88221A476B6D}">
      <formula1>1</formula1>
      <formula2>999999999999999</formula2>
    </dataValidation>
    <dataValidation type="list" allowBlank="1" showInputMessage="1" showErrorMessage="1" errorTitle="Data Error:" error="Please select data from DropDown Only." promptTitle="List:" prompt="Select data from DropDown List. _x000a_" sqref="B3:B4" xr:uid="{021853CD-ECB7-42C1-B42B-47990DB1B341}">
      <formula1>RefSchedules</formula1>
      <formula2>0</formula2>
    </dataValidation>
    <dataValidation type="list" allowBlank="1" showInputMessage="1" showErrorMessage="1" errorTitle="Data Error:" error="Please select data from DropDown Only." promptTitle="List:" prompt="Select data from DropDown List. " sqref="G3:G4" xr:uid="{BF267146-7DE9-459D-826C-8DDBE6DCA607}">
      <formula1>CarType</formula1>
      <formula2>0</formula2>
    </dataValidation>
    <dataValidation type="list" allowBlank="1" showInputMessage="1" showErrorMessage="1" errorTitle="Data Error:" error="Please select data from DropDown Only." promptTitle="List:" prompt="Select data from DropDown List. " sqref="E3:E4" xr:uid="{09121DEE-9BA1-4E93-B85B-713D0B01A660}">
      <formula1>BodyType</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D3:D4" xr:uid="{98254CE7-8D31-4178-BF62-6BBA2B5B580A}">
      <formula1>50</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 : are allowed._x000a_" sqref="C3:C4" xr:uid="{52BA5C6B-FB16-4FC4-98D1-D198B26C4DEC}">
      <formula1>20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70E3A-E0A2-4C0F-A51F-E3D801A48103}">
  <sheetPr codeName="Sheet3"/>
  <dimension ref="A1:AD132"/>
  <sheetViews>
    <sheetView topLeftCell="A21" zoomScale="115" zoomScaleNormal="115" workbookViewId="0">
      <selection activeCell="E29" sqref="E29"/>
    </sheetView>
  </sheetViews>
  <sheetFormatPr defaultColWidth="9.28515625" defaultRowHeight="15" x14ac:dyDescent="0.25"/>
  <cols>
    <col min="1" max="2" width="13.7109375" style="21" customWidth="1"/>
    <col min="3" max="3" width="19.7109375" style="21" customWidth="1"/>
    <col min="4" max="4" width="28.42578125" style="21" customWidth="1"/>
    <col min="5" max="8" width="24.5703125" style="21" customWidth="1"/>
    <col min="9" max="9" width="36.28515625" style="21" bestFit="1" customWidth="1"/>
    <col min="10" max="10" width="13.7109375" style="21" customWidth="1"/>
    <col min="11" max="11" width="24.7109375" style="22" customWidth="1"/>
    <col min="12" max="12" width="17.7109375" style="21" bestFit="1" customWidth="1"/>
    <col min="13" max="14" width="13.7109375" style="21" customWidth="1"/>
    <col min="15" max="15" width="15.5703125" style="21" bestFit="1" customWidth="1"/>
    <col min="16" max="18" width="13.7109375" style="21" customWidth="1"/>
    <col min="19" max="19" width="70" style="21" bestFit="1" customWidth="1"/>
    <col min="20" max="20" width="13.7109375" style="21" customWidth="1"/>
    <col min="21" max="21" width="11.42578125" style="21" bestFit="1" customWidth="1"/>
    <col min="22" max="22" width="9.28515625" style="21"/>
    <col min="23" max="23" width="16.7109375" style="21" bestFit="1" customWidth="1"/>
    <col min="24" max="26" width="9.28515625" style="21"/>
    <col min="27" max="27" width="8.5703125" style="21" customWidth="1"/>
    <col min="28" max="16384" width="9.28515625" style="21"/>
  </cols>
  <sheetData>
    <row r="1" spans="1:30" ht="16.5" x14ac:dyDescent="0.3">
      <c r="A1" s="120" t="s">
        <v>25</v>
      </c>
      <c r="B1" s="126" t="s">
        <v>26</v>
      </c>
      <c r="C1" s="120" t="s">
        <v>27</v>
      </c>
      <c r="D1" s="120" t="s">
        <v>28</v>
      </c>
      <c r="E1" s="126" t="s">
        <v>29</v>
      </c>
      <c r="F1" s="23"/>
      <c r="G1" s="120" t="s">
        <v>30</v>
      </c>
      <c r="H1" s="142" t="s">
        <v>31</v>
      </c>
      <c r="I1" s="126" t="s">
        <v>32</v>
      </c>
      <c r="K1" s="136" t="s">
        <v>33</v>
      </c>
      <c r="L1" s="121" t="s">
        <v>34</v>
      </c>
      <c r="M1" s="120" t="s">
        <v>35</v>
      </c>
      <c r="N1" s="21" t="s">
        <v>36</v>
      </c>
      <c r="O1" s="126" t="s">
        <v>37</v>
      </c>
      <c r="Q1" s="130" t="s">
        <v>38</v>
      </c>
      <c r="R1" s="21" t="s">
        <v>39</v>
      </c>
      <c r="S1" s="121" t="s">
        <v>40</v>
      </c>
      <c r="U1" s="130" t="s">
        <v>41</v>
      </c>
      <c r="V1" s="139" t="s">
        <v>42</v>
      </c>
      <c r="W1" s="121" t="s">
        <v>43</v>
      </c>
      <c r="AA1" s="130" t="s">
        <v>44</v>
      </c>
      <c r="AB1" s="139" t="s">
        <v>45</v>
      </c>
      <c r="AC1" s="139" t="s">
        <v>46</v>
      </c>
      <c r="AD1" s="126" t="s">
        <v>47</v>
      </c>
    </row>
    <row r="2" spans="1:30" ht="16.5" x14ac:dyDescent="0.3">
      <c r="A2" s="122" t="s">
        <v>48</v>
      </c>
      <c r="B2" s="140" t="s">
        <v>49</v>
      </c>
      <c r="C2" s="122" t="s">
        <v>50</v>
      </c>
      <c r="D2" s="122" t="s">
        <v>51</v>
      </c>
      <c r="E2" s="140" t="s">
        <v>52</v>
      </c>
      <c r="G2" s="134" t="s">
        <v>53</v>
      </c>
      <c r="H2" s="21" t="s">
        <v>54</v>
      </c>
      <c r="I2" s="123" t="s">
        <v>55</v>
      </c>
      <c r="K2" s="137" t="s">
        <v>56</v>
      </c>
      <c r="L2" s="123" t="s">
        <v>57</v>
      </c>
      <c r="M2" s="134" t="s">
        <v>58</v>
      </c>
      <c r="N2" s="21" t="s">
        <v>59</v>
      </c>
      <c r="O2" s="123" t="s">
        <v>60</v>
      </c>
      <c r="Q2" s="134" t="s">
        <v>61</v>
      </c>
      <c r="R2" s="21" t="s">
        <v>62</v>
      </c>
      <c r="S2" s="123" t="s">
        <v>63</v>
      </c>
      <c r="U2" s="134" t="s">
        <v>64</v>
      </c>
      <c r="V2" s="21" t="s">
        <v>65</v>
      </c>
      <c r="W2" s="123" t="s">
        <v>66</v>
      </c>
      <c r="AA2" s="122" t="s">
        <v>67</v>
      </c>
      <c r="AB2" s="21" t="s">
        <v>68</v>
      </c>
      <c r="AC2" s="21" t="s">
        <v>69</v>
      </c>
      <c r="AD2" s="140" t="s">
        <v>70</v>
      </c>
    </row>
    <row r="3" spans="1:30" ht="30.75" x14ac:dyDescent="0.3">
      <c r="A3" s="124" t="s">
        <v>71</v>
      </c>
      <c r="B3" s="141" t="s">
        <v>72</v>
      </c>
      <c r="C3" s="124" t="s">
        <v>73</v>
      </c>
      <c r="D3" s="124" t="s">
        <v>74</v>
      </c>
      <c r="E3" s="141" t="s">
        <v>75</v>
      </c>
      <c r="G3" s="134" t="s">
        <v>76</v>
      </c>
      <c r="H3" s="21" t="s">
        <v>68</v>
      </c>
      <c r="I3" s="123" t="s">
        <v>53</v>
      </c>
      <c r="K3" s="137" t="s">
        <v>77</v>
      </c>
      <c r="L3" s="123" t="s">
        <v>78</v>
      </c>
      <c r="M3" s="135" t="s">
        <v>79</v>
      </c>
      <c r="N3" s="119" t="s">
        <v>60</v>
      </c>
      <c r="O3" s="125" t="s">
        <v>59</v>
      </c>
      <c r="Q3" s="134" t="s">
        <v>80</v>
      </c>
      <c r="R3" s="21" t="s">
        <v>81</v>
      </c>
      <c r="S3" s="123" t="s">
        <v>80</v>
      </c>
      <c r="U3" s="135" t="s">
        <v>66</v>
      </c>
      <c r="V3" s="119" t="s">
        <v>82</v>
      </c>
      <c r="W3" s="125" t="s">
        <v>64</v>
      </c>
      <c r="AA3" s="134"/>
      <c r="AB3" s="21" t="s">
        <v>83</v>
      </c>
      <c r="AC3" s="21" t="s">
        <v>84</v>
      </c>
      <c r="AD3" s="140" t="s">
        <v>85</v>
      </c>
    </row>
    <row r="4" spans="1:30" ht="16.5" x14ac:dyDescent="0.3">
      <c r="A4" s="23"/>
      <c r="B4" s="23"/>
      <c r="C4" s="23"/>
      <c r="G4" s="134" t="s">
        <v>86</v>
      </c>
      <c r="H4" s="21" t="s">
        <v>87</v>
      </c>
      <c r="I4" s="123" t="s">
        <v>76</v>
      </c>
      <c r="K4" s="137" t="s">
        <v>88</v>
      </c>
      <c r="L4" s="123" t="s">
        <v>89</v>
      </c>
      <c r="Q4" s="135" t="s">
        <v>63</v>
      </c>
      <c r="R4" s="119" t="s">
        <v>90</v>
      </c>
      <c r="S4" s="125" t="s">
        <v>61</v>
      </c>
      <c r="AA4" s="134"/>
      <c r="AB4" s="21" t="s">
        <v>91</v>
      </c>
      <c r="AC4" s="21" t="s">
        <v>92</v>
      </c>
      <c r="AD4" s="140" t="s">
        <v>93</v>
      </c>
    </row>
    <row r="5" spans="1:30" ht="16.5" x14ac:dyDescent="0.3">
      <c r="A5" s="23"/>
      <c r="B5" s="23"/>
      <c r="C5" s="23"/>
      <c r="G5" s="134" t="s">
        <v>55</v>
      </c>
      <c r="H5" s="21" t="s">
        <v>94</v>
      </c>
      <c r="I5" s="123" t="s">
        <v>86</v>
      </c>
      <c r="K5" s="138" t="s">
        <v>95</v>
      </c>
      <c r="L5" s="125" t="s">
        <v>96</v>
      </c>
      <c r="AA5" s="134"/>
      <c r="AB5" s="21" t="s">
        <v>97</v>
      </c>
      <c r="AC5" s="21" t="s">
        <v>98</v>
      </c>
      <c r="AD5" s="140" t="s">
        <v>99</v>
      </c>
    </row>
    <row r="6" spans="1:30" ht="16.5" x14ac:dyDescent="0.3">
      <c r="A6" s="120" t="s">
        <v>100</v>
      </c>
      <c r="B6" s="142" t="s">
        <v>101</v>
      </c>
      <c r="C6" s="142" t="s">
        <v>102</v>
      </c>
      <c r="D6" s="121"/>
      <c r="E6" s="130" t="s">
        <v>103</v>
      </c>
      <c r="F6" s="121" t="s">
        <v>104</v>
      </c>
      <c r="G6" s="119" t="s">
        <v>105</v>
      </c>
      <c r="H6" s="21" t="s">
        <v>106</v>
      </c>
      <c r="I6" s="123" t="s">
        <v>105</v>
      </c>
      <c r="J6" s="134"/>
      <c r="AA6" s="134"/>
      <c r="AB6" s="21" t="s">
        <v>107</v>
      </c>
      <c r="AD6" s="140" t="s">
        <v>108</v>
      </c>
    </row>
    <row r="7" spans="1:30" ht="16.5" x14ac:dyDescent="0.3">
      <c r="A7" s="122" t="s">
        <v>109</v>
      </c>
      <c r="B7" s="21" t="s">
        <v>110</v>
      </c>
      <c r="C7" s="23" t="s">
        <v>111</v>
      </c>
      <c r="D7" s="123" t="s">
        <v>112</v>
      </c>
      <c r="E7" s="134" t="s">
        <v>113</v>
      </c>
      <c r="F7" s="123" t="s">
        <v>114</v>
      </c>
      <c r="H7" s="130" t="s">
        <v>115</v>
      </c>
      <c r="I7" s="121" t="s">
        <v>116</v>
      </c>
      <c r="K7" s="24"/>
      <c r="AA7" s="122" t="s">
        <v>117</v>
      </c>
      <c r="AB7" s="21" t="s">
        <v>68</v>
      </c>
      <c r="AC7" s="21" t="s">
        <v>69</v>
      </c>
      <c r="AD7" s="140" t="s">
        <v>70</v>
      </c>
    </row>
    <row r="8" spans="1:30" ht="16.5" x14ac:dyDescent="0.3">
      <c r="A8" s="122" t="s">
        <v>118</v>
      </c>
      <c r="B8" s="21" t="s">
        <v>119</v>
      </c>
      <c r="C8" s="23" t="s">
        <v>120</v>
      </c>
      <c r="D8" s="123" t="s">
        <v>121</v>
      </c>
      <c r="E8" s="134" t="s">
        <v>122</v>
      </c>
      <c r="F8" s="123" t="s">
        <v>123</v>
      </c>
      <c r="H8" s="134" t="s">
        <v>124</v>
      </c>
      <c r="I8" s="123" t="s">
        <v>125</v>
      </c>
      <c r="K8" s="24"/>
      <c r="AA8" s="134"/>
      <c r="AB8" s="21" t="s">
        <v>83</v>
      </c>
      <c r="AC8" s="21" t="s">
        <v>84</v>
      </c>
      <c r="AD8" s="140" t="s">
        <v>85</v>
      </c>
    </row>
    <row r="9" spans="1:30" ht="16.5" x14ac:dyDescent="0.3">
      <c r="A9" s="122" t="s">
        <v>126</v>
      </c>
      <c r="B9" s="21" t="s">
        <v>127</v>
      </c>
      <c r="C9" s="23" t="s">
        <v>128</v>
      </c>
      <c r="D9" s="123" t="s">
        <v>129</v>
      </c>
      <c r="E9" s="135" t="s">
        <v>130</v>
      </c>
      <c r="F9" s="125" t="s">
        <v>131</v>
      </c>
      <c r="H9" s="134" t="s">
        <v>132</v>
      </c>
      <c r="I9" s="123" t="s">
        <v>133</v>
      </c>
      <c r="K9" s="24"/>
      <c r="V9" s="25"/>
      <c r="AA9" s="134"/>
      <c r="AB9" s="21" t="s">
        <v>91</v>
      </c>
      <c r="AC9" s="21" t="s">
        <v>92</v>
      </c>
      <c r="AD9" s="140" t="s">
        <v>93</v>
      </c>
    </row>
    <row r="10" spans="1:30" ht="16.5" x14ac:dyDescent="0.3">
      <c r="A10" s="122" t="s">
        <v>111</v>
      </c>
      <c r="B10" s="21" t="s">
        <v>121</v>
      </c>
      <c r="C10" s="23" t="s">
        <v>118</v>
      </c>
      <c r="D10" s="123" t="s">
        <v>110</v>
      </c>
      <c r="H10" s="135" t="s">
        <v>134</v>
      </c>
      <c r="I10" s="125" t="s">
        <v>135</v>
      </c>
      <c r="K10" s="24"/>
      <c r="V10" s="25"/>
      <c r="AA10" s="134"/>
      <c r="AB10" s="21" t="s">
        <v>97</v>
      </c>
      <c r="AC10" s="21" t="s">
        <v>98</v>
      </c>
      <c r="AD10" s="140" t="s">
        <v>99</v>
      </c>
    </row>
    <row r="11" spans="1:30" ht="16.5" x14ac:dyDescent="0.3">
      <c r="A11" s="122" t="s">
        <v>136</v>
      </c>
      <c r="B11" s="21" t="s">
        <v>112</v>
      </c>
      <c r="C11" s="23" t="s">
        <v>109</v>
      </c>
      <c r="D11" s="123" t="s">
        <v>137</v>
      </c>
      <c r="K11" s="24"/>
      <c r="S11"/>
      <c r="V11" s="25"/>
      <c r="AA11" s="134"/>
      <c r="AB11" s="21" t="s">
        <v>107</v>
      </c>
      <c r="AD11" s="140" t="s">
        <v>108</v>
      </c>
    </row>
    <row r="12" spans="1:30" ht="16.5" x14ac:dyDescent="0.3">
      <c r="A12" s="122" t="s">
        <v>138</v>
      </c>
      <c r="B12" s="21" t="s">
        <v>139</v>
      </c>
      <c r="C12" s="23" t="s">
        <v>140</v>
      </c>
      <c r="D12" s="123" t="s">
        <v>141</v>
      </c>
      <c r="M12" s="23"/>
      <c r="S12"/>
      <c r="AA12" s="122" t="s">
        <v>142</v>
      </c>
      <c r="AB12" s="21" t="s">
        <v>68</v>
      </c>
      <c r="AC12" s="21" t="s">
        <v>69</v>
      </c>
      <c r="AD12" s="140" t="s">
        <v>70</v>
      </c>
    </row>
    <row r="13" spans="1:30" ht="16.5" x14ac:dyDescent="0.3">
      <c r="A13" s="122" t="s">
        <v>140</v>
      </c>
      <c r="B13" s="21" t="s">
        <v>141</v>
      </c>
      <c r="C13" s="23" t="s">
        <v>138</v>
      </c>
      <c r="D13" s="123" t="s">
        <v>139</v>
      </c>
      <c r="G13" s="131"/>
      <c r="J13" s="23"/>
      <c r="M13" s="23"/>
      <c r="S13"/>
      <c r="AA13" s="122"/>
      <c r="AB13" s="21" t="s">
        <v>83</v>
      </c>
      <c r="AC13" s="21" t="s">
        <v>84</v>
      </c>
      <c r="AD13" s="140" t="s">
        <v>85</v>
      </c>
    </row>
    <row r="14" spans="1:30" ht="16.5" x14ac:dyDescent="0.3">
      <c r="A14" s="122" t="s">
        <v>120</v>
      </c>
      <c r="B14" s="21" t="s">
        <v>129</v>
      </c>
      <c r="C14" s="23" t="s">
        <v>126</v>
      </c>
      <c r="D14" s="123" t="s">
        <v>119</v>
      </c>
      <c r="M14" s="23"/>
      <c r="S14"/>
      <c r="AA14" s="122"/>
      <c r="AB14" s="21" t="s">
        <v>91</v>
      </c>
      <c r="AC14" s="21" t="s">
        <v>92</v>
      </c>
      <c r="AD14" s="140" t="s">
        <v>93</v>
      </c>
    </row>
    <row r="15" spans="1:30" ht="16.5" x14ac:dyDescent="0.3">
      <c r="A15" s="122" t="s">
        <v>143</v>
      </c>
      <c r="B15" s="21" t="s">
        <v>137</v>
      </c>
      <c r="C15" s="23" t="s">
        <v>136</v>
      </c>
      <c r="D15" s="123" t="s">
        <v>144</v>
      </c>
      <c r="F15" s="130" t="s">
        <v>145</v>
      </c>
      <c r="G15" s="146" t="s">
        <v>146</v>
      </c>
      <c r="H15" s="143" t="s">
        <v>147</v>
      </c>
      <c r="M15" s="23"/>
      <c r="S15"/>
      <c r="AA15" s="122"/>
      <c r="AB15" s="21" t="s">
        <v>97</v>
      </c>
      <c r="AC15" s="21" t="s">
        <v>98</v>
      </c>
      <c r="AD15" s="140" t="s">
        <v>99</v>
      </c>
    </row>
    <row r="16" spans="1:30" ht="16.5" x14ac:dyDescent="0.3">
      <c r="A16" s="122" t="s">
        <v>148</v>
      </c>
      <c r="B16" s="21" t="s">
        <v>149</v>
      </c>
      <c r="C16" s="23" t="s">
        <v>150</v>
      </c>
      <c r="D16" s="123" t="s">
        <v>70</v>
      </c>
      <c r="F16" s="134" t="s">
        <v>151</v>
      </c>
      <c r="G16" t="s">
        <v>152</v>
      </c>
      <c r="H16" s="144" t="s">
        <v>153</v>
      </c>
      <c r="M16" s="23"/>
      <c r="S16"/>
      <c r="AA16" s="122"/>
      <c r="AB16" s="21" t="s">
        <v>107</v>
      </c>
      <c r="AD16" s="140" t="s">
        <v>108</v>
      </c>
    </row>
    <row r="17" spans="1:30" ht="16.5" x14ac:dyDescent="0.3">
      <c r="A17" s="122" t="s">
        <v>150</v>
      </c>
      <c r="B17" s="21" t="s">
        <v>70</v>
      </c>
      <c r="C17" s="23" t="s">
        <v>148</v>
      </c>
      <c r="D17" s="123" t="s">
        <v>149</v>
      </c>
      <c r="F17" s="135" t="s">
        <v>152</v>
      </c>
      <c r="G17" s="147" t="s">
        <v>151</v>
      </c>
      <c r="H17" s="145" t="s">
        <v>154</v>
      </c>
      <c r="M17" s="23"/>
      <c r="AA17" s="122" t="s">
        <v>155</v>
      </c>
      <c r="AB17" s="21" t="s">
        <v>68</v>
      </c>
      <c r="AC17" s="21" t="s">
        <v>69</v>
      </c>
      <c r="AD17" s="140" t="s">
        <v>70</v>
      </c>
    </row>
    <row r="18" spans="1:30" ht="16.5" x14ac:dyDescent="0.3">
      <c r="A18" s="124" t="s">
        <v>128</v>
      </c>
      <c r="B18" s="119" t="s">
        <v>144</v>
      </c>
      <c r="C18" s="148" t="s">
        <v>143</v>
      </c>
      <c r="D18" s="125" t="s">
        <v>127</v>
      </c>
      <c r="J18" s="23"/>
      <c r="M18" s="23"/>
      <c r="AA18" s="122"/>
      <c r="AB18" s="21" t="s">
        <v>83</v>
      </c>
      <c r="AC18" s="21" t="s">
        <v>84</v>
      </c>
      <c r="AD18" s="140" t="s">
        <v>85</v>
      </c>
    </row>
    <row r="19" spans="1:30" ht="16.5" x14ac:dyDescent="0.3">
      <c r="M19" s="23"/>
      <c r="AA19" s="122"/>
      <c r="AB19" s="21" t="s">
        <v>91</v>
      </c>
      <c r="AC19" s="21" t="s">
        <v>92</v>
      </c>
      <c r="AD19" s="140" t="s">
        <v>93</v>
      </c>
    </row>
    <row r="20" spans="1:30" ht="16.5" x14ac:dyDescent="0.3">
      <c r="A20" s="120" t="s">
        <v>156</v>
      </c>
      <c r="B20" s="121" t="s">
        <v>157</v>
      </c>
      <c r="C20" s="179" t="s">
        <v>158</v>
      </c>
      <c r="E20" s="127" t="s">
        <v>159</v>
      </c>
      <c r="M20" s="23"/>
      <c r="AA20" s="122"/>
      <c r="AB20" s="21" t="s">
        <v>97</v>
      </c>
      <c r="AC20" s="21" t="s">
        <v>98</v>
      </c>
      <c r="AD20" s="140" t="s">
        <v>99</v>
      </c>
    </row>
    <row r="21" spans="1:30" ht="16.5" x14ac:dyDescent="0.3">
      <c r="A21" s="122">
        <v>2005</v>
      </c>
      <c r="B21" s="123" t="s">
        <v>162</v>
      </c>
      <c r="C21" s="178" t="s">
        <v>161</v>
      </c>
      <c r="E21" s="128" t="s">
        <v>67</v>
      </c>
      <c r="M21" s="23"/>
      <c r="AA21" s="122"/>
      <c r="AB21" s="21" t="s">
        <v>107</v>
      </c>
      <c r="AD21" s="140" t="s">
        <v>108</v>
      </c>
    </row>
    <row r="22" spans="1:30" ht="16.5" x14ac:dyDescent="0.3">
      <c r="A22" s="122">
        <v>2006</v>
      </c>
      <c r="B22" s="123" t="s">
        <v>67</v>
      </c>
      <c r="C22" s="178" t="s">
        <v>163</v>
      </c>
      <c r="E22" s="128" t="s">
        <v>117</v>
      </c>
      <c r="M22" s="23"/>
      <c r="AA22" s="134" t="s">
        <v>164</v>
      </c>
      <c r="AB22" s="21" t="s">
        <v>68</v>
      </c>
      <c r="AC22" s="21" t="s">
        <v>69</v>
      </c>
      <c r="AD22" s="140" t="s">
        <v>70</v>
      </c>
    </row>
    <row r="23" spans="1:30" ht="16.5" x14ac:dyDescent="0.3">
      <c r="A23" s="122">
        <v>2007</v>
      </c>
      <c r="B23" s="123" t="s">
        <v>117</v>
      </c>
      <c r="C23" s="178" t="s">
        <v>165</v>
      </c>
      <c r="E23" s="128" t="s">
        <v>142</v>
      </c>
      <c r="J23" s="23"/>
      <c r="M23" s="23"/>
      <c r="AA23" s="134"/>
      <c r="AB23" s="21" t="s">
        <v>83</v>
      </c>
      <c r="AC23" s="21" t="s">
        <v>84</v>
      </c>
      <c r="AD23" s="140" t="s">
        <v>85</v>
      </c>
    </row>
    <row r="24" spans="1:30" ht="16.5" x14ac:dyDescent="0.3">
      <c r="A24" s="122">
        <v>2008</v>
      </c>
      <c r="B24" s="123" t="s">
        <v>142</v>
      </c>
      <c r="C24" s="178" t="s">
        <v>166</v>
      </c>
      <c r="E24" s="128" t="s">
        <v>155</v>
      </c>
      <c r="J24" s="23"/>
      <c r="M24" s="23"/>
      <c r="AA24" s="134"/>
      <c r="AB24" s="21" t="s">
        <v>91</v>
      </c>
      <c r="AC24" s="21" t="s">
        <v>92</v>
      </c>
      <c r="AD24" s="140" t="s">
        <v>93</v>
      </c>
    </row>
    <row r="25" spans="1:30" ht="16.5" x14ac:dyDescent="0.3">
      <c r="A25" s="122">
        <v>2009</v>
      </c>
      <c r="B25" s="123" t="s">
        <v>155</v>
      </c>
      <c r="C25" s="178" t="s">
        <v>167</v>
      </c>
      <c r="E25" s="128" t="s">
        <v>164</v>
      </c>
      <c r="J25" s="23"/>
      <c r="M25" s="23"/>
      <c r="AA25" s="134"/>
      <c r="AB25" s="21" t="s">
        <v>97</v>
      </c>
      <c r="AC25" s="21" t="s">
        <v>98</v>
      </c>
      <c r="AD25" s="140" t="s">
        <v>99</v>
      </c>
    </row>
    <row r="26" spans="1:30" ht="16.5" x14ac:dyDescent="0.3">
      <c r="A26" s="122">
        <v>2010</v>
      </c>
      <c r="B26" s="123" t="s">
        <v>164</v>
      </c>
      <c r="C26" s="178" t="s">
        <v>168</v>
      </c>
      <c r="E26" s="128" t="s">
        <v>169</v>
      </c>
      <c r="J26" s="23"/>
      <c r="M26" s="23"/>
      <c r="AA26" s="134"/>
      <c r="AB26" s="21" t="s">
        <v>107</v>
      </c>
      <c r="AD26" s="140" t="s">
        <v>108</v>
      </c>
    </row>
    <row r="27" spans="1:30" ht="16.5" x14ac:dyDescent="0.3">
      <c r="A27" s="122">
        <v>2011</v>
      </c>
      <c r="B27" s="123" t="s">
        <v>169</v>
      </c>
      <c r="C27" s="178" t="s">
        <v>170</v>
      </c>
      <c r="E27" s="128" t="s">
        <v>171</v>
      </c>
      <c r="J27" s="23"/>
      <c r="M27" s="23"/>
      <c r="AA27" s="134" t="s">
        <v>169</v>
      </c>
      <c r="AB27" s="21" t="s">
        <v>68</v>
      </c>
      <c r="AC27" s="21" t="s">
        <v>172</v>
      </c>
      <c r="AD27" s="140" t="s">
        <v>70</v>
      </c>
    </row>
    <row r="28" spans="1:30" ht="16.5" x14ac:dyDescent="0.3">
      <c r="A28" s="122">
        <v>2012</v>
      </c>
      <c r="B28" s="123" t="s">
        <v>171</v>
      </c>
      <c r="C28" s="178" t="s">
        <v>173</v>
      </c>
      <c r="E28" s="128" t="s">
        <v>174</v>
      </c>
      <c r="J28" s="23"/>
      <c r="M28" s="23"/>
      <c r="AA28" s="134"/>
      <c r="AB28" s="21" t="s">
        <v>175</v>
      </c>
      <c r="AC28" s="21" t="s">
        <v>176</v>
      </c>
      <c r="AD28" s="140" t="s">
        <v>85</v>
      </c>
    </row>
    <row r="29" spans="1:30" ht="16.5" x14ac:dyDescent="0.3">
      <c r="A29" s="122">
        <v>2013</v>
      </c>
      <c r="B29" s="123" t="s">
        <v>174</v>
      </c>
      <c r="C29" s="178" t="s">
        <v>177</v>
      </c>
      <c r="E29" s="128" t="s">
        <v>178</v>
      </c>
      <c r="J29" s="23"/>
      <c r="M29" s="23"/>
      <c r="AA29" s="134"/>
      <c r="AB29" s="21" t="s">
        <v>179</v>
      </c>
      <c r="AC29" s="21" t="s">
        <v>180</v>
      </c>
      <c r="AD29" s="140" t="s">
        <v>93</v>
      </c>
    </row>
    <row r="30" spans="1:30" ht="16.5" x14ac:dyDescent="0.3">
      <c r="A30" s="122">
        <v>2014</v>
      </c>
      <c r="B30" s="123" t="s">
        <v>178</v>
      </c>
      <c r="C30" s="180" t="s">
        <v>181</v>
      </c>
      <c r="E30" s="128" t="s">
        <v>182</v>
      </c>
      <c r="J30" s="23"/>
      <c r="M30" s="23"/>
      <c r="AA30" s="134"/>
      <c r="AB30" s="21" t="s">
        <v>183</v>
      </c>
      <c r="AC30" s="21" t="s">
        <v>184</v>
      </c>
      <c r="AD30" s="140" t="s">
        <v>99</v>
      </c>
    </row>
    <row r="31" spans="1:30" ht="16.5" x14ac:dyDescent="0.3">
      <c r="A31" s="122">
        <v>2015</v>
      </c>
      <c r="B31" s="123" t="s">
        <v>182</v>
      </c>
      <c r="C31" s="180" t="s">
        <v>185</v>
      </c>
      <c r="E31" s="128" t="s">
        <v>186</v>
      </c>
      <c r="J31" s="23"/>
      <c r="M31" s="23"/>
      <c r="AA31" s="134"/>
      <c r="AB31" s="21" t="s">
        <v>187</v>
      </c>
      <c r="AD31" s="140" t="s">
        <v>108</v>
      </c>
    </row>
    <row r="32" spans="1:30" ht="16.5" x14ac:dyDescent="0.3">
      <c r="A32" s="122" t="s">
        <v>1116</v>
      </c>
      <c r="B32" s="123" t="s">
        <v>186</v>
      </c>
      <c r="C32" s="180" t="s">
        <v>188</v>
      </c>
      <c r="E32" s="128" t="s">
        <v>189</v>
      </c>
      <c r="J32" s="23"/>
      <c r="M32" s="23"/>
      <c r="AA32" s="134" t="s">
        <v>171</v>
      </c>
      <c r="AB32" s="21" t="s">
        <v>68</v>
      </c>
      <c r="AC32" s="21" t="s">
        <v>172</v>
      </c>
      <c r="AD32" s="140" t="s">
        <v>70</v>
      </c>
    </row>
    <row r="33" spans="1:30" ht="16.5" x14ac:dyDescent="0.3">
      <c r="A33" s="134" t="s">
        <v>1122</v>
      </c>
      <c r="B33" s="123" t="s">
        <v>189</v>
      </c>
      <c r="C33" s="180" t="s">
        <v>190</v>
      </c>
      <c r="E33" s="128" t="s">
        <v>191</v>
      </c>
      <c r="AA33" s="134"/>
      <c r="AB33" s="21" t="s">
        <v>175</v>
      </c>
      <c r="AC33" s="21" t="s">
        <v>176</v>
      </c>
      <c r="AD33" s="140" t="s">
        <v>85</v>
      </c>
    </row>
    <row r="34" spans="1:30" ht="16.5" x14ac:dyDescent="0.3">
      <c r="A34" s="134" t="s">
        <v>1144</v>
      </c>
      <c r="B34" s="123" t="s">
        <v>191</v>
      </c>
      <c r="C34" s="180" t="s">
        <v>192</v>
      </c>
      <c r="E34" s="129">
        <v>2013</v>
      </c>
      <c r="AA34" s="134"/>
      <c r="AB34" s="21" t="s">
        <v>179</v>
      </c>
      <c r="AC34" s="21" t="s">
        <v>180</v>
      </c>
      <c r="AD34" s="140" t="s">
        <v>93</v>
      </c>
    </row>
    <row r="35" spans="1:30" ht="16.5" x14ac:dyDescent="0.3">
      <c r="A35" s="134">
        <v>2019</v>
      </c>
      <c r="B35" s="123" t="s">
        <v>1058</v>
      </c>
      <c r="C35" s="181" t="s">
        <v>193</v>
      </c>
      <c r="E35" s="21">
        <v>2014</v>
      </c>
      <c r="AA35" s="134"/>
      <c r="AB35" s="21" t="s">
        <v>183</v>
      </c>
      <c r="AC35" s="21" t="s">
        <v>184</v>
      </c>
      <c r="AD35" s="140" t="s">
        <v>99</v>
      </c>
    </row>
    <row r="36" spans="1:30" ht="16.5" x14ac:dyDescent="0.3">
      <c r="A36" s="135">
        <v>2020</v>
      </c>
      <c r="B36" s="125" t="s">
        <v>1059</v>
      </c>
      <c r="E36" s="21">
        <v>2015</v>
      </c>
      <c r="AA36" s="134"/>
      <c r="AB36" s="21" t="s">
        <v>187</v>
      </c>
      <c r="AD36" s="140" t="s">
        <v>108</v>
      </c>
    </row>
    <row r="37" spans="1:30" ht="16.5" x14ac:dyDescent="0.3">
      <c r="A37" s="21">
        <v>2021</v>
      </c>
      <c r="B37" s="21" t="s">
        <v>1060</v>
      </c>
      <c r="E37" s="21" t="s">
        <v>1116</v>
      </c>
      <c r="AA37" s="134" t="s">
        <v>174</v>
      </c>
      <c r="AB37" s="21" t="s">
        <v>68</v>
      </c>
      <c r="AC37" s="21" t="s">
        <v>172</v>
      </c>
      <c r="AD37" s="140" t="s">
        <v>70</v>
      </c>
    </row>
    <row r="38" spans="1:30" ht="16.5" x14ac:dyDescent="0.3">
      <c r="A38" s="21">
        <v>2022</v>
      </c>
      <c r="B38" s="21" t="s">
        <v>1116</v>
      </c>
      <c r="E38" s="21" t="s">
        <v>1122</v>
      </c>
      <c r="AA38" s="134"/>
      <c r="AB38" s="21" t="s">
        <v>175</v>
      </c>
      <c r="AC38" s="21" t="s">
        <v>176</v>
      </c>
      <c r="AD38" s="140" t="s">
        <v>85</v>
      </c>
    </row>
    <row r="39" spans="1:30" ht="16.5" x14ac:dyDescent="0.3">
      <c r="A39" s="21" t="s">
        <v>1250</v>
      </c>
      <c r="B39" s="21" t="s">
        <v>1122</v>
      </c>
      <c r="E39" s="21" t="s">
        <v>1144</v>
      </c>
      <c r="AA39" s="134"/>
      <c r="AB39" s="21" t="s">
        <v>179</v>
      </c>
      <c r="AC39" s="21" t="s">
        <v>180</v>
      </c>
      <c r="AD39" s="140" t="s">
        <v>93</v>
      </c>
    </row>
    <row r="40" spans="1:30" ht="16.5" x14ac:dyDescent="0.3">
      <c r="A40" s="21" t="s">
        <v>1256</v>
      </c>
      <c r="B40" s="21" t="s">
        <v>1144</v>
      </c>
      <c r="E40" s="21">
        <v>2019</v>
      </c>
      <c r="AA40" s="134"/>
      <c r="AB40" s="21" t="s">
        <v>183</v>
      </c>
      <c r="AC40" s="21" t="s">
        <v>184</v>
      </c>
      <c r="AD40" s="140" t="s">
        <v>99</v>
      </c>
    </row>
    <row r="41" spans="1:30" ht="16.5" x14ac:dyDescent="0.3">
      <c r="A41" s="21" t="s">
        <v>94</v>
      </c>
      <c r="B41" s="21" t="s">
        <v>1205</v>
      </c>
      <c r="E41" s="21">
        <v>2020</v>
      </c>
      <c r="AA41" s="134"/>
      <c r="AB41" s="21" t="s">
        <v>187</v>
      </c>
      <c r="AD41" s="140" t="s">
        <v>108</v>
      </c>
    </row>
    <row r="42" spans="1:30" ht="16.5" x14ac:dyDescent="0.3">
      <c r="A42" s="21" t="s">
        <v>1101</v>
      </c>
      <c r="B42" s="21" t="s">
        <v>1235</v>
      </c>
      <c r="E42" s="21">
        <v>2021</v>
      </c>
      <c r="AA42" s="134" t="s">
        <v>178</v>
      </c>
      <c r="AB42" s="21" t="s">
        <v>68</v>
      </c>
      <c r="AC42" s="21" t="s">
        <v>172</v>
      </c>
      <c r="AD42" s="140" t="s">
        <v>70</v>
      </c>
    </row>
    <row r="43" spans="1:30" ht="16.5" x14ac:dyDescent="0.3">
      <c r="A43" s="21" t="s">
        <v>1102</v>
      </c>
      <c r="B43" s="21" t="s">
        <v>1236</v>
      </c>
      <c r="E43" s="21">
        <v>2022</v>
      </c>
      <c r="AA43" s="134"/>
      <c r="AB43" s="21" t="s">
        <v>175</v>
      </c>
      <c r="AC43" s="21" t="s">
        <v>176</v>
      </c>
      <c r="AD43" s="140" t="s">
        <v>85</v>
      </c>
    </row>
    <row r="44" spans="1:30" ht="16.5" x14ac:dyDescent="0.3">
      <c r="A44" s="21" t="s">
        <v>1211</v>
      </c>
      <c r="B44" s="21" t="s">
        <v>1249</v>
      </c>
      <c r="E44" s="21" t="s">
        <v>1250</v>
      </c>
      <c r="AA44" s="134"/>
      <c r="AB44" s="21" t="s">
        <v>179</v>
      </c>
      <c r="AC44" s="21" t="s">
        <v>180</v>
      </c>
      <c r="AD44" s="140" t="s">
        <v>93</v>
      </c>
    </row>
    <row r="45" spans="1:30" ht="16.5" x14ac:dyDescent="0.3">
      <c r="A45" s="21" t="s">
        <v>1210</v>
      </c>
      <c r="B45" s="21" t="s">
        <v>1250</v>
      </c>
      <c r="E45" s="21" t="s">
        <v>1256</v>
      </c>
      <c r="AA45" s="134"/>
      <c r="AB45" s="21" t="s">
        <v>183</v>
      </c>
      <c r="AC45" s="21" t="s">
        <v>184</v>
      </c>
      <c r="AD45" s="140" t="s">
        <v>99</v>
      </c>
    </row>
    <row r="46" spans="1:30" ht="16.5" x14ac:dyDescent="0.3">
      <c r="B46" s="21" t="s">
        <v>1256</v>
      </c>
      <c r="AA46" s="134"/>
      <c r="AB46" s="21" t="s">
        <v>187</v>
      </c>
      <c r="AD46" s="140" t="s">
        <v>108</v>
      </c>
    </row>
    <row r="47" spans="1:30" ht="16.5" x14ac:dyDescent="0.3">
      <c r="A47" s="21" t="s">
        <v>1106</v>
      </c>
      <c r="AA47" s="134" t="s">
        <v>182</v>
      </c>
      <c r="AB47" s="21" t="s">
        <v>68</v>
      </c>
      <c r="AC47" s="21" t="s">
        <v>172</v>
      </c>
      <c r="AD47" s="140" t="s">
        <v>70</v>
      </c>
    </row>
    <row r="48" spans="1:30" ht="16.5" x14ac:dyDescent="0.3">
      <c r="A48" s="21" t="s">
        <v>273</v>
      </c>
      <c r="AA48" s="134"/>
      <c r="AB48" s="21" t="s">
        <v>175</v>
      </c>
      <c r="AC48" s="21" t="s">
        <v>176</v>
      </c>
      <c r="AD48" s="140" t="s">
        <v>85</v>
      </c>
    </row>
    <row r="49" spans="1:30" ht="16.5" x14ac:dyDescent="0.3">
      <c r="AA49" s="134"/>
      <c r="AB49" s="21" t="s">
        <v>179</v>
      </c>
      <c r="AC49" s="21" t="s">
        <v>180</v>
      </c>
      <c r="AD49" s="140" t="s">
        <v>93</v>
      </c>
    </row>
    <row r="50" spans="1:30" ht="16.5" x14ac:dyDescent="0.3">
      <c r="AA50" s="134"/>
      <c r="AB50" s="21" t="s">
        <v>183</v>
      </c>
      <c r="AC50" s="21" t="s">
        <v>184</v>
      </c>
      <c r="AD50" s="140" t="s">
        <v>99</v>
      </c>
    </row>
    <row r="51" spans="1:30" ht="16.5" x14ac:dyDescent="0.3">
      <c r="AA51" s="134"/>
      <c r="AB51" s="21" t="s">
        <v>187</v>
      </c>
      <c r="AD51" s="140" t="s">
        <v>108</v>
      </c>
    </row>
    <row r="52" spans="1:30" ht="16.5" x14ac:dyDescent="0.3">
      <c r="AA52" s="134" t="s">
        <v>186</v>
      </c>
      <c r="AB52" s="21" t="s">
        <v>68</v>
      </c>
      <c r="AC52" s="21" t="s">
        <v>172</v>
      </c>
      <c r="AD52" s="140" t="s">
        <v>70</v>
      </c>
    </row>
    <row r="53" spans="1:30" ht="16.5" x14ac:dyDescent="0.3">
      <c r="AA53" s="134"/>
      <c r="AB53" s="21" t="s">
        <v>175</v>
      </c>
      <c r="AC53" s="21" t="s">
        <v>176</v>
      </c>
      <c r="AD53" s="140" t="s">
        <v>85</v>
      </c>
    </row>
    <row r="54" spans="1:30" ht="16.5" x14ac:dyDescent="0.3">
      <c r="A54" s="26" t="s">
        <v>1108</v>
      </c>
      <c r="AA54" s="134"/>
      <c r="AB54" s="21" t="s">
        <v>179</v>
      </c>
      <c r="AC54" s="21" t="s">
        <v>180</v>
      </c>
      <c r="AD54" s="140" t="s">
        <v>93</v>
      </c>
    </row>
    <row r="55" spans="1:30" ht="16.5" x14ac:dyDescent="0.3">
      <c r="A55" s="21" t="s">
        <v>1258</v>
      </c>
      <c r="AA55" s="134"/>
      <c r="AB55" s="21" t="s">
        <v>183</v>
      </c>
      <c r="AC55" s="21" t="s">
        <v>184</v>
      </c>
      <c r="AD55" s="140" t="s">
        <v>99</v>
      </c>
    </row>
    <row r="56" spans="1:30" ht="16.5" x14ac:dyDescent="0.3">
      <c r="AA56" s="134"/>
      <c r="AB56" s="21" t="s">
        <v>187</v>
      </c>
      <c r="AD56" s="140" t="s">
        <v>108</v>
      </c>
    </row>
    <row r="57" spans="1:30" ht="16.5" x14ac:dyDescent="0.3">
      <c r="AA57" s="134" t="s">
        <v>189</v>
      </c>
      <c r="AB57" s="21" t="s">
        <v>68</v>
      </c>
      <c r="AC57" s="21" t="s">
        <v>172</v>
      </c>
      <c r="AD57" s="140" t="s">
        <v>70</v>
      </c>
    </row>
    <row r="58" spans="1:30" ht="16.5" x14ac:dyDescent="0.3">
      <c r="AA58" s="134"/>
      <c r="AB58" s="21" t="s">
        <v>175</v>
      </c>
      <c r="AC58" s="21" t="s">
        <v>176</v>
      </c>
      <c r="AD58" s="140" t="s">
        <v>85</v>
      </c>
    </row>
    <row r="59" spans="1:30" ht="16.5" x14ac:dyDescent="0.3">
      <c r="AA59" s="134"/>
      <c r="AB59" s="21" t="s">
        <v>179</v>
      </c>
      <c r="AC59" s="21" t="s">
        <v>180</v>
      </c>
      <c r="AD59" s="140" t="s">
        <v>93</v>
      </c>
    </row>
    <row r="60" spans="1:30" ht="16.5" x14ac:dyDescent="0.3">
      <c r="AA60" s="134"/>
      <c r="AB60" s="21" t="s">
        <v>183</v>
      </c>
      <c r="AC60" s="21" t="s">
        <v>184</v>
      </c>
      <c r="AD60" s="140" t="s">
        <v>99</v>
      </c>
    </row>
    <row r="61" spans="1:30" ht="16.5" x14ac:dyDescent="0.3">
      <c r="AA61" s="134"/>
      <c r="AB61" s="21" t="s">
        <v>187</v>
      </c>
      <c r="AD61" s="140" t="s">
        <v>108</v>
      </c>
    </row>
    <row r="62" spans="1:30" ht="16.5" x14ac:dyDescent="0.3">
      <c r="AA62" s="134" t="s">
        <v>191</v>
      </c>
      <c r="AB62" s="21" t="s">
        <v>68</v>
      </c>
      <c r="AC62" s="21" t="s">
        <v>172</v>
      </c>
      <c r="AD62" s="140" t="s">
        <v>70</v>
      </c>
    </row>
    <row r="63" spans="1:30" ht="16.5" x14ac:dyDescent="0.3">
      <c r="AA63" s="134"/>
      <c r="AB63" s="21" t="s">
        <v>175</v>
      </c>
      <c r="AC63" s="21" t="s">
        <v>176</v>
      </c>
      <c r="AD63" s="140" t="s">
        <v>85</v>
      </c>
    </row>
    <row r="64" spans="1:30" ht="16.5" x14ac:dyDescent="0.3">
      <c r="AA64" s="134"/>
      <c r="AB64" s="21" t="s">
        <v>179</v>
      </c>
      <c r="AC64" s="21" t="s">
        <v>180</v>
      </c>
      <c r="AD64" s="140" t="s">
        <v>93</v>
      </c>
    </row>
    <row r="65" spans="27:30" ht="16.5" x14ac:dyDescent="0.3">
      <c r="AA65" s="134"/>
      <c r="AB65" s="21" t="s">
        <v>183</v>
      </c>
      <c r="AC65" s="21" t="s">
        <v>184</v>
      </c>
      <c r="AD65" s="140" t="s">
        <v>99</v>
      </c>
    </row>
    <row r="66" spans="27:30" ht="16.5" x14ac:dyDescent="0.3">
      <c r="AA66" s="134"/>
      <c r="AB66" s="21" t="s">
        <v>187</v>
      </c>
      <c r="AD66" s="140" t="s">
        <v>108</v>
      </c>
    </row>
    <row r="67" spans="27:30" ht="16.5" x14ac:dyDescent="0.3">
      <c r="AA67" s="134" t="s">
        <v>162</v>
      </c>
      <c r="AB67" s="21" t="s">
        <v>68</v>
      </c>
      <c r="AC67" s="21" t="s">
        <v>69</v>
      </c>
      <c r="AD67" s="140" t="s">
        <v>70</v>
      </c>
    </row>
    <row r="68" spans="27:30" ht="16.5" x14ac:dyDescent="0.3">
      <c r="AA68" s="134"/>
      <c r="AB68" s="21" t="s">
        <v>83</v>
      </c>
      <c r="AC68" s="21" t="s">
        <v>84</v>
      </c>
      <c r="AD68" s="140" t="s">
        <v>85</v>
      </c>
    </row>
    <row r="69" spans="27:30" ht="16.5" x14ac:dyDescent="0.3">
      <c r="AA69" s="134"/>
      <c r="AB69" s="21" t="s">
        <v>91</v>
      </c>
      <c r="AC69" s="21" t="s">
        <v>92</v>
      </c>
      <c r="AD69" s="140" t="s">
        <v>93</v>
      </c>
    </row>
    <row r="70" spans="27:30" ht="16.5" x14ac:dyDescent="0.3">
      <c r="AA70" s="134"/>
      <c r="AB70" s="21" t="s">
        <v>97</v>
      </c>
      <c r="AC70" s="21" t="s">
        <v>98</v>
      </c>
      <c r="AD70" s="140" t="s">
        <v>99</v>
      </c>
    </row>
    <row r="71" spans="27:30" ht="16.5" x14ac:dyDescent="0.3">
      <c r="AA71" s="134"/>
      <c r="AB71" s="21" t="s">
        <v>107</v>
      </c>
      <c r="AD71" s="140" t="s">
        <v>108</v>
      </c>
    </row>
    <row r="72" spans="27:30" ht="16.5" x14ac:dyDescent="0.3">
      <c r="AA72" s="134" t="s">
        <v>160</v>
      </c>
      <c r="AB72" s="21" t="s">
        <v>68</v>
      </c>
      <c r="AC72" s="21" t="s">
        <v>69</v>
      </c>
      <c r="AD72" s="140" t="s">
        <v>70</v>
      </c>
    </row>
    <row r="73" spans="27:30" ht="16.5" x14ac:dyDescent="0.3">
      <c r="AA73" s="134"/>
      <c r="AB73" s="21" t="s">
        <v>83</v>
      </c>
      <c r="AC73" s="21" t="s">
        <v>84</v>
      </c>
      <c r="AD73" s="140" t="s">
        <v>85</v>
      </c>
    </row>
    <row r="74" spans="27:30" ht="16.5" x14ac:dyDescent="0.3">
      <c r="AA74" s="134"/>
      <c r="AB74" s="21" t="s">
        <v>91</v>
      </c>
      <c r="AC74" s="21" t="s">
        <v>92</v>
      </c>
      <c r="AD74" s="140" t="s">
        <v>93</v>
      </c>
    </row>
    <row r="75" spans="27:30" ht="16.5" x14ac:dyDescent="0.3">
      <c r="AA75" s="134"/>
      <c r="AB75" s="21" t="s">
        <v>97</v>
      </c>
      <c r="AC75" s="21" t="s">
        <v>98</v>
      </c>
      <c r="AD75" s="140" t="s">
        <v>99</v>
      </c>
    </row>
    <row r="76" spans="27:30" ht="16.5" x14ac:dyDescent="0.3">
      <c r="AA76" s="134"/>
      <c r="AB76" s="21" t="s">
        <v>107</v>
      </c>
      <c r="AD76" s="140" t="s">
        <v>108</v>
      </c>
    </row>
    <row r="77" spans="27:30" ht="16.5" x14ac:dyDescent="0.3">
      <c r="AA77" s="134" t="s">
        <v>1058</v>
      </c>
      <c r="AB77" s="21" t="s">
        <v>68</v>
      </c>
      <c r="AC77" s="21" t="s">
        <v>172</v>
      </c>
      <c r="AD77" s="140" t="s">
        <v>70</v>
      </c>
    </row>
    <row r="78" spans="27:30" ht="16.5" x14ac:dyDescent="0.3">
      <c r="AA78" s="134"/>
      <c r="AB78" s="21" t="s">
        <v>175</v>
      </c>
      <c r="AC78" s="21" t="s">
        <v>176</v>
      </c>
      <c r="AD78" s="140" t="s">
        <v>85</v>
      </c>
    </row>
    <row r="79" spans="27:30" ht="16.5" x14ac:dyDescent="0.3">
      <c r="AA79" s="134"/>
      <c r="AB79" s="21" t="s">
        <v>179</v>
      </c>
      <c r="AC79" s="21" t="s">
        <v>180</v>
      </c>
      <c r="AD79" s="140" t="s">
        <v>93</v>
      </c>
    </row>
    <row r="80" spans="27:30" ht="16.5" x14ac:dyDescent="0.3">
      <c r="AA80" s="134"/>
      <c r="AB80" s="21" t="s">
        <v>183</v>
      </c>
      <c r="AC80" s="21" t="s">
        <v>184</v>
      </c>
      <c r="AD80" s="140" t="s">
        <v>99</v>
      </c>
    </row>
    <row r="81" spans="27:30" ht="16.5" x14ac:dyDescent="0.3">
      <c r="AA81" s="135"/>
      <c r="AB81" s="119" t="s">
        <v>187</v>
      </c>
      <c r="AC81" s="119"/>
      <c r="AD81" s="141" t="s">
        <v>108</v>
      </c>
    </row>
    <row r="82" spans="27:30" ht="16.5" x14ac:dyDescent="0.3">
      <c r="AA82" s="21" t="s">
        <v>1059</v>
      </c>
      <c r="AB82" s="21" t="s">
        <v>68</v>
      </c>
      <c r="AC82" s="21" t="s">
        <v>172</v>
      </c>
      <c r="AD82" s="23" t="s">
        <v>70</v>
      </c>
    </row>
    <row r="83" spans="27:30" ht="16.5" x14ac:dyDescent="0.3">
      <c r="AB83" s="21" t="s">
        <v>175</v>
      </c>
      <c r="AC83" s="21" t="s">
        <v>176</v>
      </c>
      <c r="AD83" s="23" t="s">
        <v>85</v>
      </c>
    </row>
    <row r="84" spans="27:30" ht="16.5" x14ac:dyDescent="0.3">
      <c r="AB84" s="21" t="s">
        <v>179</v>
      </c>
      <c r="AC84" s="21" t="s">
        <v>180</v>
      </c>
      <c r="AD84" s="23" t="s">
        <v>93</v>
      </c>
    </row>
    <row r="85" spans="27:30" ht="16.5" x14ac:dyDescent="0.3">
      <c r="AB85" s="21" t="s">
        <v>183</v>
      </c>
      <c r="AC85" s="21" t="s">
        <v>184</v>
      </c>
      <c r="AD85" s="23" t="s">
        <v>99</v>
      </c>
    </row>
    <row r="86" spans="27:30" ht="16.5" x14ac:dyDescent="0.3">
      <c r="AB86" s="21" t="s">
        <v>187</v>
      </c>
      <c r="AD86" s="23" t="s">
        <v>108</v>
      </c>
    </row>
    <row r="87" spans="27:30" x14ac:dyDescent="0.25">
      <c r="AA87" s="21" t="s">
        <v>1060</v>
      </c>
      <c r="AB87" s="21" t="s">
        <v>68</v>
      </c>
      <c r="AC87" s="21" t="s">
        <v>172</v>
      </c>
      <c r="AD87" s="21" t="s">
        <v>70</v>
      </c>
    </row>
    <row r="88" spans="27:30" x14ac:dyDescent="0.25">
      <c r="AB88" s="21" t="s">
        <v>175</v>
      </c>
      <c r="AC88" s="21" t="s">
        <v>176</v>
      </c>
      <c r="AD88" s="21" t="s">
        <v>85</v>
      </c>
    </row>
    <row r="89" spans="27:30" x14ac:dyDescent="0.25">
      <c r="AB89" s="21" t="s">
        <v>179</v>
      </c>
      <c r="AC89" s="21" t="s">
        <v>180</v>
      </c>
      <c r="AD89" s="21" t="s">
        <v>93</v>
      </c>
    </row>
    <row r="90" spans="27:30" x14ac:dyDescent="0.25">
      <c r="AB90" s="21" t="s">
        <v>183</v>
      </c>
      <c r="AC90" s="21" t="s">
        <v>184</v>
      </c>
      <c r="AD90" s="21" t="s">
        <v>99</v>
      </c>
    </row>
    <row r="91" spans="27:30" x14ac:dyDescent="0.25">
      <c r="AB91" s="21" t="s">
        <v>187</v>
      </c>
      <c r="AD91" s="21" t="s">
        <v>108</v>
      </c>
    </row>
    <row r="92" spans="27:30" x14ac:dyDescent="0.25">
      <c r="AA92" s="21" t="s">
        <v>1116</v>
      </c>
      <c r="AB92" s="21" t="s">
        <v>68</v>
      </c>
      <c r="AC92" s="21" t="s">
        <v>172</v>
      </c>
      <c r="AD92" s="21" t="s">
        <v>70</v>
      </c>
    </row>
    <row r="93" spans="27:30" x14ac:dyDescent="0.25">
      <c r="AB93" s="21" t="s">
        <v>175</v>
      </c>
      <c r="AC93" s="21" t="s">
        <v>176</v>
      </c>
      <c r="AD93" s="21" t="s">
        <v>85</v>
      </c>
    </row>
    <row r="94" spans="27:30" x14ac:dyDescent="0.25">
      <c r="AB94" s="21" t="s">
        <v>179</v>
      </c>
      <c r="AC94" s="21" t="s">
        <v>180</v>
      </c>
      <c r="AD94" s="21" t="s">
        <v>93</v>
      </c>
    </row>
    <row r="95" spans="27:30" x14ac:dyDescent="0.25">
      <c r="AB95" s="21" t="s">
        <v>183</v>
      </c>
      <c r="AC95" s="21" t="s">
        <v>184</v>
      </c>
      <c r="AD95" s="21" t="s">
        <v>99</v>
      </c>
    </row>
    <row r="96" spans="27:30" x14ac:dyDescent="0.25">
      <c r="AB96" s="21" t="s">
        <v>187</v>
      </c>
      <c r="AD96" s="21" t="s">
        <v>108</v>
      </c>
    </row>
    <row r="97" spans="27:30" x14ac:dyDescent="0.25">
      <c r="AA97" s="21" t="s">
        <v>1122</v>
      </c>
      <c r="AB97" s="21" t="s">
        <v>68</v>
      </c>
      <c r="AC97" s="21" t="s">
        <v>1123</v>
      </c>
      <c r="AD97" s="21" t="s">
        <v>70</v>
      </c>
    </row>
    <row r="98" spans="27:30" x14ac:dyDescent="0.25">
      <c r="AB98" s="21" t="s">
        <v>1127</v>
      </c>
      <c r="AC98" s="21" t="s">
        <v>1124</v>
      </c>
      <c r="AD98" s="21" t="s">
        <v>85</v>
      </c>
    </row>
    <row r="99" spans="27:30" x14ac:dyDescent="0.25">
      <c r="AB99" s="21" t="s">
        <v>1128</v>
      </c>
      <c r="AC99" s="21" t="s">
        <v>1125</v>
      </c>
      <c r="AD99" s="21" t="s">
        <v>93</v>
      </c>
    </row>
    <row r="100" spans="27:30" x14ac:dyDescent="0.25">
      <c r="AB100" s="21" t="s">
        <v>1129</v>
      </c>
      <c r="AC100" s="21" t="s">
        <v>1126</v>
      </c>
      <c r="AD100" s="21" t="s">
        <v>99</v>
      </c>
    </row>
    <row r="101" spans="27:30" x14ac:dyDescent="0.25">
      <c r="AB101" s="21" t="s">
        <v>1130</v>
      </c>
      <c r="AD101" s="21" t="s">
        <v>108</v>
      </c>
    </row>
    <row r="102" spans="27:30" x14ac:dyDescent="0.25">
      <c r="AA102" s="21" t="s">
        <v>1144</v>
      </c>
      <c r="AB102" s="21" t="s">
        <v>68</v>
      </c>
      <c r="AC102" s="21" t="s">
        <v>1145</v>
      </c>
      <c r="AD102" s="21" t="s">
        <v>70</v>
      </c>
    </row>
    <row r="103" spans="27:30" x14ac:dyDescent="0.25">
      <c r="AB103" s="21" t="s">
        <v>1146</v>
      </c>
      <c r="AC103" s="21" t="s">
        <v>1147</v>
      </c>
      <c r="AD103" s="21" t="s">
        <v>85</v>
      </c>
    </row>
    <row r="104" spans="27:30" x14ac:dyDescent="0.25">
      <c r="AB104" s="21" t="s">
        <v>1148</v>
      </c>
      <c r="AC104" s="21" t="s">
        <v>1149</v>
      </c>
      <c r="AD104" s="21" t="s">
        <v>93</v>
      </c>
    </row>
    <row r="105" spans="27:30" x14ac:dyDescent="0.25">
      <c r="AB105" s="21" t="s">
        <v>1150</v>
      </c>
      <c r="AC105" s="21" t="s">
        <v>1151</v>
      </c>
      <c r="AD105" s="21" t="s">
        <v>99</v>
      </c>
    </row>
    <row r="106" spans="27:30" x14ac:dyDescent="0.25">
      <c r="AB106" s="21" t="s">
        <v>1152</v>
      </c>
      <c r="AD106" s="21" t="s">
        <v>108</v>
      </c>
    </row>
    <row r="107" spans="27:30" x14ac:dyDescent="0.25">
      <c r="AA107" s="21" t="s">
        <v>1205</v>
      </c>
      <c r="AB107" s="21" t="s">
        <v>68</v>
      </c>
      <c r="AC107" s="21" t="s">
        <v>1145</v>
      </c>
      <c r="AD107" s="21" t="s">
        <v>70</v>
      </c>
    </row>
    <row r="108" spans="27:30" x14ac:dyDescent="0.25">
      <c r="AB108" s="21" t="s">
        <v>1146</v>
      </c>
      <c r="AC108" s="21" t="s">
        <v>1147</v>
      </c>
      <c r="AD108" s="21" t="s">
        <v>85</v>
      </c>
    </row>
    <row r="109" spans="27:30" x14ac:dyDescent="0.25">
      <c r="AB109" s="21" t="s">
        <v>1148</v>
      </c>
      <c r="AC109" s="21" t="s">
        <v>1149</v>
      </c>
      <c r="AD109" s="21" t="s">
        <v>93</v>
      </c>
    </row>
    <row r="110" spans="27:30" x14ac:dyDescent="0.25">
      <c r="AB110" s="21" t="s">
        <v>1150</v>
      </c>
      <c r="AC110" s="21" t="s">
        <v>1151</v>
      </c>
      <c r="AD110" s="21" t="s">
        <v>99</v>
      </c>
    </row>
    <row r="111" spans="27:30" x14ac:dyDescent="0.25">
      <c r="AB111" s="21" t="s">
        <v>1152</v>
      </c>
      <c r="AD111" s="21" t="s">
        <v>108</v>
      </c>
    </row>
    <row r="112" spans="27:30" x14ac:dyDescent="0.25">
      <c r="AA112" s="21" t="s">
        <v>1235</v>
      </c>
      <c r="AB112" s="21" t="s">
        <v>68</v>
      </c>
      <c r="AC112" s="21" t="s">
        <v>1145</v>
      </c>
      <c r="AD112" s="21" t="s">
        <v>70</v>
      </c>
    </row>
    <row r="113" spans="27:30" x14ac:dyDescent="0.25">
      <c r="AB113" s="21" t="s">
        <v>1146</v>
      </c>
      <c r="AC113" s="21" t="s">
        <v>1147</v>
      </c>
      <c r="AD113" s="21" t="s">
        <v>85</v>
      </c>
    </row>
    <row r="114" spans="27:30" x14ac:dyDescent="0.25">
      <c r="AB114" s="21" t="s">
        <v>1148</v>
      </c>
      <c r="AC114" s="21" t="s">
        <v>1149</v>
      </c>
      <c r="AD114" s="21" t="s">
        <v>93</v>
      </c>
    </row>
    <row r="115" spans="27:30" x14ac:dyDescent="0.25">
      <c r="AB115" s="21" t="s">
        <v>1150</v>
      </c>
      <c r="AC115" s="21" t="s">
        <v>1151</v>
      </c>
      <c r="AD115" s="21" t="s">
        <v>99</v>
      </c>
    </row>
    <row r="116" spans="27:30" x14ac:dyDescent="0.25">
      <c r="AB116" s="21" t="s">
        <v>1152</v>
      </c>
      <c r="AD116" s="21" t="s">
        <v>108</v>
      </c>
    </row>
    <row r="117" spans="27:30" x14ac:dyDescent="0.25">
      <c r="AA117" s="21" t="s">
        <v>1236</v>
      </c>
      <c r="AB117" s="21" t="s">
        <v>68</v>
      </c>
      <c r="AC117" s="21" t="s">
        <v>1237</v>
      </c>
      <c r="AD117" s="21" t="s">
        <v>70</v>
      </c>
    </row>
    <row r="118" spans="27:30" x14ac:dyDescent="0.25">
      <c r="AB118" s="21" t="s">
        <v>1238</v>
      </c>
      <c r="AC118" s="21" t="s">
        <v>1239</v>
      </c>
      <c r="AD118" s="21" t="s">
        <v>99</v>
      </c>
    </row>
    <row r="119" spans="27:30" x14ac:dyDescent="0.25">
      <c r="AB119" s="21" t="s">
        <v>1240</v>
      </c>
      <c r="AD119" s="21" t="s">
        <v>108</v>
      </c>
    </row>
    <row r="120" spans="27:30" x14ac:dyDescent="0.25">
      <c r="AA120" s="21" t="s">
        <v>1249</v>
      </c>
      <c r="AB120" s="21" t="s">
        <v>68</v>
      </c>
      <c r="AC120" s="21" t="s">
        <v>1237</v>
      </c>
      <c r="AD120" s="21" t="s">
        <v>70</v>
      </c>
    </row>
    <row r="121" spans="27:30" x14ac:dyDescent="0.25">
      <c r="AB121" s="21" t="s">
        <v>1238</v>
      </c>
      <c r="AC121" s="21" t="s">
        <v>1239</v>
      </c>
      <c r="AD121" s="21" t="s">
        <v>99</v>
      </c>
    </row>
    <row r="122" spans="27:30" x14ac:dyDescent="0.25">
      <c r="AB122" s="21" t="s">
        <v>1240</v>
      </c>
      <c r="AD122" s="21" t="s">
        <v>108</v>
      </c>
    </row>
    <row r="123" spans="27:30" x14ac:dyDescent="0.25">
      <c r="AA123" s="21">
        <v>2023</v>
      </c>
      <c r="AB123" s="21">
        <v>0</v>
      </c>
      <c r="AC123" s="21">
        <v>288000</v>
      </c>
      <c r="AD123" s="21">
        <v>10</v>
      </c>
    </row>
    <row r="124" spans="27:30" x14ac:dyDescent="0.25">
      <c r="AB124" s="21">
        <v>288001</v>
      </c>
      <c r="AC124" s="21">
        <v>388000</v>
      </c>
      <c r="AD124" s="21">
        <v>25</v>
      </c>
    </row>
    <row r="125" spans="27:30" x14ac:dyDescent="0.25">
      <c r="AB125" s="21">
        <v>388001</v>
      </c>
      <c r="AC125" s="21">
        <v>6000000</v>
      </c>
      <c r="AD125" s="21">
        <v>30</v>
      </c>
    </row>
    <row r="126" spans="27:30" x14ac:dyDescent="0.25">
      <c r="AB126" s="21">
        <v>6000001</v>
      </c>
      <c r="AC126" s="21">
        <v>9600000</v>
      </c>
      <c r="AD126" s="21">
        <v>32.5</v>
      </c>
    </row>
    <row r="127" spans="27:30" x14ac:dyDescent="0.25">
      <c r="AB127" s="21">
        <v>9600001</v>
      </c>
      <c r="AD127" s="21">
        <v>35</v>
      </c>
    </row>
    <row r="128" spans="27:30" x14ac:dyDescent="0.25">
      <c r="AA128" s="21">
        <v>2024</v>
      </c>
      <c r="AB128" s="21">
        <v>0</v>
      </c>
      <c r="AC128" s="21">
        <v>288000</v>
      </c>
      <c r="AD128" s="21">
        <v>10</v>
      </c>
    </row>
    <row r="129" spans="28:30" x14ac:dyDescent="0.25">
      <c r="AB129" s="21">
        <v>288001</v>
      </c>
      <c r="AC129" s="21">
        <v>388000</v>
      </c>
      <c r="AD129" s="21">
        <v>25</v>
      </c>
    </row>
    <row r="130" spans="28:30" x14ac:dyDescent="0.25">
      <c r="AB130" s="21">
        <v>388001</v>
      </c>
      <c r="AC130" s="21">
        <v>6000000</v>
      </c>
      <c r="AD130" s="21">
        <v>30</v>
      </c>
    </row>
    <row r="131" spans="28:30" x14ac:dyDescent="0.25">
      <c r="AB131" s="21">
        <v>6000001</v>
      </c>
      <c r="AC131" s="21">
        <v>9600000</v>
      </c>
      <c r="AD131" s="21">
        <v>32.5</v>
      </c>
    </row>
    <row r="132" spans="28:30" x14ac:dyDescent="0.25">
      <c r="AB132" s="21">
        <v>9600001</v>
      </c>
      <c r="AD132" s="21">
        <v>35</v>
      </c>
    </row>
  </sheetData>
  <sheetProtection selectLockedCells="1"/>
  <pageMargins left="0.7" right="0.7" top="0.75" bottom="0.75" header="0.51180555555555551" footer="0.51180555555555551"/>
  <pageSetup firstPageNumber="0"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3FD0A-6B6C-4212-A4F8-17E7165A93FC}">
  <sheetPr codeName="Sheet13"/>
  <dimension ref="A1:R7"/>
  <sheetViews>
    <sheetView workbookViewId="0">
      <selection activeCell="K3" sqref="K3"/>
    </sheetView>
  </sheetViews>
  <sheetFormatPr defaultColWidth="0" defaultRowHeight="15" zeroHeight="1" x14ac:dyDescent="0.25"/>
  <cols>
    <col min="1" max="14" width="27.7109375" customWidth="1"/>
    <col min="15" max="15" width="3.5703125" style="75" customWidth="1"/>
    <col min="16" max="16" width="8" customWidth="1"/>
    <col min="17" max="17" width="3.5703125" customWidth="1"/>
    <col min="18" max="18" width="21.28515625" customWidth="1"/>
  </cols>
  <sheetData>
    <row r="1" spans="1:18" ht="33.75" customHeight="1" x14ac:dyDescent="0.25">
      <c r="A1" s="218" t="s">
        <v>650</v>
      </c>
      <c r="B1" s="218"/>
      <c r="C1" s="218"/>
      <c r="D1" s="218"/>
      <c r="E1" s="218"/>
      <c r="F1" s="218"/>
      <c r="G1" s="218"/>
      <c r="H1" s="218"/>
      <c r="I1" s="218"/>
      <c r="J1" s="218"/>
      <c r="K1" s="218"/>
      <c r="L1" s="218"/>
      <c r="M1" s="218"/>
      <c r="N1" s="218"/>
      <c r="O1" s="67"/>
      <c r="P1" s="34"/>
      <c r="Q1" s="34"/>
      <c r="R1" s="36"/>
    </row>
    <row r="2" spans="1:18" ht="33" x14ac:dyDescent="0.25">
      <c r="A2" s="51" t="s">
        <v>406</v>
      </c>
      <c r="B2" s="51" t="s">
        <v>612</v>
      </c>
      <c r="C2" s="51" t="s">
        <v>639</v>
      </c>
      <c r="D2" s="51" t="s">
        <v>640</v>
      </c>
      <c r="E2" s="51" t="s">
        <v>641</v>
      </c>
      <c r="F2" s="51" t="s">
        <v>642</v>
      </c>
      <c r="G2" s="51" t="s">
        <v>643</v>
      </c>
      <c r="H2" s="51" t="s">
        <v>644</v>
      </c>
      <c r="I2" s="51" t="s">
        <v>645</v>
      </c>
      <c r="J2" s="51" t="s">
        <v>646</v>
      </c>
      <c r="K2" s="51" t="s">
        <v>896</v>
      </c>
      <c r="L2" s="51" t="s">
        <v>648</v>
      </c>
      <c r="M2" s="51" t="s">
        <v>649</v>
      </c>
      <c r="N2" s="51" t="s">
        <v>897</v>
      </c>
      <c r="O2" s="34"/>
      <c r="P2" s="34"/>
      <c r="Q2" s="34"/>
      <c r="R2" s="36"/>
    </row>
    <row r="3" spans="1:18" ht="15.75" x14ac:dyDescent="0.25">
      <c r="A3" s="247" t="s">
        <v>941</v>
      </c>
      <c r="B3" s="248" t="s">
        <v>941</v>
      </c>
      <c r="C3" s="247" t="s">
        <v>941</v>
      </c>
      <c r="D3" s="247" t="s">
        <v>941</v>
      </c>
      <c r="E3" s="248" t="s">
        <v>941</v>
      </c>
      <c r="F3" s="247" t="s">
        <v>941</v>
      </c>
      <c r="G3" s="248" t="s">
        <v>941</v>
      </c>
      <c r="H3" s="249" t="s">
        <v>941</v>
      </c>
      <c r="I3" s="250" t="s">
        <v>941</v>
      </c>
      <c r="J3" s="250" t="s">
        <v>941</v>
      </c>
      <c r="K3" s="251" t="s">
        <v>941</v>
      </c>
      <c r="L3" s="251" t="s">
        <v>941</v>
      </c>
      <c r="M3" s="250" t="s">
        <v>941</v>
      </c>
      <c r="N3" s="251" t="s">
        <v>941</v>
      </c>
      <c r="O3" s="34" t="str">
        <f>IFERROR(LOOKUP(E3,PurposeOfPolicy,PolicyCode),"")</f>
        <v/>
      </c>
      <c r="P3" s="34" t="str">
        <f>IFERROR(LOOKUP(G3,HolderPolicy,HolderPolicyCode),"")</f>
        <v/>
      </c>
      <c r="Q3" s="34" t="str">
        <f>IFERROR(LOOKUP(B3,RefSchedules,RefSchedulesCode),"")</f>
        <v/>
      </c>
      <c r="R3" s="36" t="str">
        <f>CONCATENATE(A3,B3)</f>
        <v/>
      </c>
    </row>
    <row r="4" spans="1:18" ht="15.75" x14ac:dyDescent="0.25">
      <c r="A4" s="247" t="s">
        <v>941</v>
      </c>
      <c r="B4" s="248" t="s">
        <v>941</v>
      </c>
      <c r="C4" s="247" t="s">
        <v>941</v>
      </c>
      <c r="D4" s="247" t="s">
        <v>941</v>
      </c>
      <c r="E4" s="248" t="s">
        <v>941</v>
      </c>
      <c r="F4" s="247" t="s">
        <v>941</v>
      </c>
      <c r="G4" s="248" t="s">
        <v>941</v>
      </c>
      <c r="H4" s="249" t="s">
        <v>941</v>
      </c>
      <c r="I4" s="250" t="s">
        <v>941</v>
      </c>
      <c r="J4" s="250" t="s">
        <v>941</v>
      </c>
      <c r="K4" s="251" t="s">
        <v>941</v>
      </c>
      <c r="L4" s="251" t="s">
        <v>941</v>
      </c>
      <c r="M4" s="250" t="s">
        <v>941</v>
      </c>
      <c r="N4" s="251" t="s">
        <v>941</v>
      </c>
      <c r="O4" s="34" t="str">
        <f>IFERROR(LOOKUP(E4,PurposeOfPolicy,PolicyCode),"")</f>
        <v/>
      </c>
      <c r="P4" s="34" t="str">
        <f>IFERROR(LOOKUP(G4,HolderPolicy,HolderPolicyCode),"")</f>
        <v/>
      </c>
      <c r="Q4" s="34" t="str">
        <f>IFERROR(LOOKUP(B4,RefSchedules,RefSchedulesCode),"")</f>
        <v/>
      </c>
      <c r="R4" s="36" t="str">
        <f>CONCATENATE(A4,B4)</f>
        <v/>
      </c>
    </row>
    <row r="5" spans="1:18" ht="16.5" customHeight="1" x14ac:dyDescent="0.3">
      <c r="A5" s="228" t="s">
        <v>884</v>
      </c>
      <c r="B5" s="228"/>
      <c r="C5" s="228"/>
      <c r="D5" s="228"/>
      <c r="E5" s="228"/>
      <c r="F5" s="228"/>
      <c r="G5" s="228"/>
      <c r="H5" s="228"/>
      <c r="I5" s="228"/>
      <c r="J5" s="228"/>
      <c r="K5" s="228"/>
      <c r="L5" s="228"/>
      <c r="M5" s="76"/>
      <c r="N5" s="43">
        <f ca="1">SUM(N3:OFFSET(InsReliefDtlsListTO,-1,0))</f>
        <v>0</v>
      </c>
      <c r="O5" s="67"/>
      <c r="P5" s="34"/>
      <c r="Q5" s="34"/>
      <c r="R5" s="36"/>
    </row>
    <row r="6" spans="1:18" ht="37.5" customHeight="1" x14ac:dyDescent="0.25">
      <c r="A6" s="36"/>
      <c r="B6" s="36"/>
      <c r="C6" s="36"/>
      <c r="D6" s="36"/>
      <c r="E6" s="36"/>
      <c r="F6" s="36"/>
      <c r="G6" s="36"/>
      <c r="H6" s="36"/>
      <c r="I6" s="36"/>
      <c r="J6" s="36"/>
      <c r="K6" s="36"/>
      <c r="L6" s="36"/>
      <c r="M6" s="36"/>
      <c r="N6" s="36"/>
      <c r="O6" s="67"/>
      <c r="P6" s="34"/>
      <c r="Q6" s="34"/>
      <c r="R6" s="36"/>
    </row>
    <row r="7" spans="1:18" ht="37.5" customHeight="1" x14ac:dyDescent="0.25">
      <c r="A7" s="36"/>
      <c r="B7" s="36"/>
      <c r="C7" s="36"/>
      <c r="D7" s="36"/>
      <c r="E7" s="36"/>
      <c r="F7" s="36"/>
      <c r="G7" s="36"/>
      <c r="H7" s="36"/>
      <c r="I7" s="36"/>
      <c r="J7" s="36"/>
      <c r="K7" s="36"/>
      <c r="L7" s="36"/>
      <c r="M7" s="36"/>
      <c r="N7" s="36"/>
      <c r="O7" s="67"/>
      <c r="P7" s="34"/>
      <c r="Q7" s="34"/>
      <c r="R7" s="36"/>
    </row>
  </sheetData>
  <sheetProtection selectLockedCells="1"/>
  <mergeCells count="2">
    <mergeCell ref="A1:N1"/>
    <mergeCell ref="A5:L5"/>
  </mergeCells>
  <dataValidations xWindow="20081" yWindow="6298" count="11">
    <dataValidation type="textLength" allowBlank="1" showInputMessage="1" showErrorMessage="1" errorTitle="Data Error:" error="Please enter date value in dd/mm/yyyy format." promptTitle="Date:" prompt="Enter date value in dd/mm/yyyy format." sqref="J3 M3:M4" xr:uid="{DC4B0562-7701-4BB4-AD25-954EF25FBD72}">
      <formula1>10</formula1>
      <formula2>10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K3:L4" xr:uid="{9B6E8D81-31AD-4A63-9CBB-0EE118CC8AD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D3:D4" xr:uid="{2FE9536B-198A-4059-B2EA-3665E64F1EFD}">
      <formula1>50</formula1>
      <formula2>0</formula2>
    </dataValidation>
    <dataValidation type="textLength" allowBlank="1" showInputMessage="1" showErrorMessage="1" errorTitle="Data Error:" error="Please enter PIN in proper format.  " promptTitle="Alphanumeric:" prompt="Enter 11 digit alphanumeric values for PIN. " sqref="A3:A4 C3:C4" xr:uid="{AC12AA4C-BFF7-47E2-A7EF-74B10136C33D}">
      <formula1>11</formula1>
      <formula2>11</formula2>
    </dataValidation>
    <dataValidation type="textLength" allowBlank="1" showInputMessage="1" showErrorMessage="1" errorTitle="Date" error="Please enter date value in dd/mm/yyyy format." promptTitle="Date:" prompt="Enter date value in dd/mm/yyyy format." sqref="I3 I4:J4" xr:uid="{B888D64E-7BD5-4A89-8B37-635BC7CD1942}">
      <formula1>10</formula1>
      <formula2>10</formula2>
    </dataValidation>
    <dataValidation type="list" allowBlank="1" showInputMessage="1" showErrorMessage="1" errorTitle="Data Error:" error="Please select data from DropDown Only." promptTitle="List:" prompt="Select data from DropDown List. _x000a_" sqref="B3:B4" xr:uid="{F3D8E31B-C8DC-4974-9FBF-DF70518D7FDB}">
      <formula1>RefSchedules</formula1>
      <formula2>0</formula2>
    </dataValidation>
    <dataValidation type="list" allowBlank="1" showInputMessage="1" showErrorMessage="1" errorTitle="Data Error:" error="Please select data from DropDown Only." promptTitle="List:" prompt="Select data from DropDown List. _x000a_" sqref="E3:E4" xr:uid="{11973442-3BB3-4DF7-8136-F14165F79C58}">
      <formula1>PurposeOfPolicy</formula1>
      <formula2>0</formula2>
    </dataValidation>
    <dataValidation type="list" allowBlank="1" showInputMessage="1" showErrorMessage="1" errorTitle="Data Error:" error="Please select data from DropDown Only." promptTitle="List:" prompt="Select data from DropDown List. _x000a_" sqref="G3:G4" xr:uid="{08B51244-F20A-4E58-A324-A659F2F86756}">
      <formula1>HolderPolicy</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 are allowed._x000a_" sqref="F3:F4" xr:uid="{0182E4BB-AE9E-48E2-BBB1-38B7CA61A1D7}">
      <formula1>20</formula1>
      <formula2>0</formula2>
    </dataValidation>
    <dataValidation type="whole" allowBlank="1" showInputMessage="1" showErrorMessage="1" errorTitle="Data Error:" error="Please Enter age of child between 1 to 18 Years." promptTitle="Numeric:" prompt="Enter age of child between 1 to 18 Years." sqref="H3:H4" xr:uid="{EACDD791-383A-4DD1-BC52-C5550FB6FF22}">
      <formula1>1</formula1>
      <formula2>18</formula2>
    </dataValidation>
    <dataValidation allowBlank="1" errorTitle="Data Error:" error="Please enter positive numeric value of length less than or equal to 15 digit." promptTitle="Numeric:" prompt="Enter numeric value of length less than or equal to 15 digit." sqref="N3:N4" xr:uid="{3ED3CB9E-FA50-4C5B-8C86-AEAB577F503A}">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2D4AD-AB14-4576-BC21-9259A7338A6A}">
  <sheetPr codeName="Sheet14"/>
  <dimension ref="A1:M7"/>
  <sheetViews>
    <sheetView workbookViewId="0">
      <selection activeCell="C4" sqref="C4"/>
    </sheetView>
  </sheetViews>
  <sheetFormatPr defaultColWidth="0" defaultRowHeight="16.5" zeroHeight="1" x14ac:dyDescent="0.3"/>
  <cols>
    <col min="1" max="12" width="27.7109375" style="28" customWidth="1"/>
    <col min="13" max="13" width="14" style="28" customWidth="1"/>
    <col min="14" max="16384" width="0" style="28" hidden="1"/>
  </cols>
  <sheetData>
    <row r="1" spans="1:13" ht="33.75" customHeight="1" x14ac:dyDescent="0.3">
      <c r="A1" s="222" t="s">
        <v>676</v>
      </c>
      <c r="B1" s="222"/>
      <c r="C1" s="222"/>
      <c r="D1" s="222"/>
      <c r="E1" s="222"/>
      <c r="F1" s="222"/>
      <c r="G1" s="222"/>
      <c r="H1" s="222"/>
      <c r="I1" s="222"/>
      <c r="J1" s="222"/>
      <c r="K1" s="222"/>
      <c r="L1" s="222"/>
      <c r="M1" s="77"/>
    </row>
    <row r="2" spans="1:13" ht="82.5" x14ac:dyDescent="0.3">
      <c r="A2" s="51" t="s">
        <v>406</v>
      </c>
      <c r="B2" s="51" t="s">
        <v>407</v>
      </c>
      <c r="C2" s="51" t="s">
        <v>408</v>
      </c>
      <c r="D2" s="51" t="s">
        <v>409</v>
      </c>
      <c r="E2" s="51" t="s">
        <v>44</v>
      </c>
      <c r="F2" s="51" t="s">
        <v>672</v>
      </c>
      <c r="G2" s="51" t="s">
        <v>410</v>
      </c>
      <c r="H2" s="51" t="s">
        <v>411</v>
      </c>
      <c r="I2" s="51" t="s">
        <v>898</v>
      </c>
      <c r="J2" s="51" t="s">
        <v>899</v>
      </c>
      <c r="K2" s="51" t="s">
        <v>900</v>
      </c>
      <c r="L2" s="51" t="s">
        <v>901</v>
      </c>
      <c r="M2" s="77"/>
    </row>
    <row r="3" spans="1:13" x14ac:dyDescent="0.3">
      <c r="A3" s="40" t="s">
        <v>941</v>
      </c>
      <c r="B3" s="78"/>
      <c r="C3" s="35"/>
      <c r="D3" s="35"/>
      <c r="E3" s="79"/>
      <c r="F3" s="79"/>
      <c r="G3" s="42"/>
      <c r="H3" s="42"/>
      <c r="I3" s="80" t="str">
        <f>IF(A3="","",SUM(G3:H3))</f>
        <v/>
      </c>
      <c r="J3" s="80" t="str">
        <f>IF(E3="","",IF(I3="",0,getTaxPayableFromYear(E3,I3)))</f>
        <v/>
      </c>
      <c r="K3" s="71"/>
      <c r="L3" s="80" t="str">
        <f>IF(A3="","",IF(J3="","",IF(ROUND(J3,2)-ROUND(K3,2)&lt;0,0,ROUND(J3,2)-ROUND(K3,2))))</f>
        <v/>
      </c>
      <c r="M3" s="81"/>
    </row>
    <row r="4" spans="1:13" x14ac:dyDescent="0.3">
      <c r="A4" s="40" t="s">
        <v>941</v>
      </c>
      <c r="B4" s="40"/>
      <c r="C4" s="35"/>
      <c r="D4" s="35"/>
      <c r="E4" s="79"/>
      <c r="F4" s="79"/>
      <c r="G4" s="42"/>
      <c r="H4" s="42"/>
      <c r="I4" s="80" t="str">
        <f>IF(A4="","",SUM(G4:H4))</f>
        <v/>
      </c>
      <c r="J4" s="80" t="str">
        <f>IF(E4="","",IF(I4="",0,getTaxPayableFromYear(E4,I4)))</f>
        <v/>
      </c>
      <c r="K4" s="71"/>
      <c r="L4" s="80" t="str">
        <f>IF(A4="","",IF(J4="","",IF(ROUND(J4,2)-ROUND(K4,2)&lt;0,0,ROUND(J4,2)-ROUND(K4,2))))</f>
        <v/>
      </c>
      <c r="M4" s="81"/>
    </row>
    <row r="5" spans="1:13" ht="17.25" customHeight="1" x14ac:dyDescent="0.3">
      <c r="A5" s="229" t="s">
        <v>884</v>
      </c>
      <c r="B5" s="229"/>
      <c r="C5" s="229"/>
      <c r="D5" s="229"/>
      <c r="E5" s="229"/>
      <c r="F5" s="229"/>
      <c r="G5" s="229"/>
      <c r="H5" s="229"/>
      <c r="I5" s="229"/>
      <c r="J5" s="229"/>
      <c r="K5" s="229"/>
      <c r="L5" s="82">
        <f ca="1">SUM(L3:OFFSET(TaxPdOnLumpSumPdAftrTrmtnListTO,-1,0))</f>
        <v>0</v>
      </c>
      <c r="M5" s="77"/>
    </row>
    <row r="6" spans="1:13" ht="37.5" customHeight="1" x14ac:dyDescent="0.3">
      <c r="A6" s="77"/>
      <c r="B6" s="77"/>
      <c r="C6" s="77"/>
      <c r="D6" s="77"/>
      <c r="E6" s="77"/>
      <c r="F6" s="77"/>
      <c r="G6" s="77"/>
      <c r="H6" s="77"/>
      <c r="I6" s="77"/>
      <c r="J6" s="77"/>
      <c r="K6" s="77"/>
      <c r="L6" s="77"/>
      <c r="M6" s="77"/>
    </row>
    <row r="7" spans="1:13" ht="37.5" customHeight="1" x14ac:dyDescent="0.3">
      <c r="A7" s="77"/>
      <c r="B7" s="77"/>
      <c r="C7" s="77"/>
      <c r="D7" s="77"/>
      <c r="E7" s="77"/>
      <c r="F7" s="77"/>
      <c r="G7" s="77"/>
      <c r="H7" s="77"/>
      <c r="I7" s="77"/>
      <c r="J7" s="77"/>
      <c r="K7" s="77"/>
      <c r="L7" s="77"/>
      <c r="M7" s="77"/>
    </row>
  </sheetData>
  <sheetProtection selectLockedCells="1"/>
  <mergeCells count="2">
    <mergeCell ref="A1:L1"/>
    <mergeCell ref="A5:K5"/>
  </mergeCells>
  <dataValidations xWindow="634" yWindow="503" count="6">
    <dataValidation type="textLength" allowBlank="1" showInputMessage="1" showErrorMessage="1" errorTitle="Data Error:" error="Please enter date value in dd/mm/yyyy format." promptTitle="Date:" prompt="Enter date value in dd/mm/yyyy format." sqref="C3:D4" xr:uid="{062ABA6A-7C44-4F25-A3F5-AFB452C65E46}">
      <formula1>10</formula1>
      <formula2>10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G3:H4 K3:K4" xr:uid="{5B972B21-1320-4FB3-B8AE-468183308CD2}">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4" xr:uid="{BF08147A-F476-4996-B3B7-45A6B3339D5F}">
      <formula1>50</formula1>
      <formula2>0</formula2>
    </dataValidation>
    <dataValidation type="textLength" allowBlank="1" showInputMessage="1" showErrorMessage="1" errorTitle="Data Error:" error="Please enter PIN in proper format.  " promptTitle="Alphanumeric:" prompt="Enter 11 digit alphanumeric values for PIN. " sqref="A3:A4" xr:uid="{43DAF457-4955-45C6-9C97-F735ABA67BD1}">
      <formula1>11</formula1>
      <formula2>11</formula2>
    </dataValidation>
    <dataValidation type="list" allowBlank="1" showInputMessage="1" showErrorMessage="1" error="Please select data from DropDown Only." promptTitle="Year:" prompt="Select data from DropDown List." sqref="E3:F4" xr:uid="{D5F9D884-57CA-40C8-B089-45F229B3E48C}">
      <formula1>OtherYear</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 xr:uid="{CA11A24D-667C-42B7-8C7A-A051814D569F}">
      <formula1>50</formula1>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A6C92-0CF5-443B-8EAD-451322A0A559}">
  <sheetPr codeName="Sheet15"/>
  <dimension ref="A1:AR9"/>
  <sheetViews>
    <sheetView topLeftCell="A2" workbookViewId="0">
      <selection activeCell="A5" sqref="A5"/>
    </sheetView>
  </sheetViews>
  <sheetFormatPr defaultColWidth="0" defaultRowHeight="15" zeroHeight="1" x14ac:dyDescent="0.25"/>
  <cols>
    <col min="1" max="39" width="27.7109375" customWidth="1"/>
    <col min="40" max="44" width="3.5703125" customWidth="1"/>
  </cols>
  <sheetData>
    <row r="1" spans="1:44" ht="33.75" customHeight="1" x14ac:dyDescent="0.25">
      <c r="A1" s="222" t="s">
        <v>902</v>
      </c>
      <c r="B1" s="222"/>
      <c r="C1" s="222"/>
      <c r="D1" s="222"/>
      <c r="E1" s="222"/>
      <c r="F1" s="222"/>
      <c r="G1" s="222"/>
      <c r="H1" s="222"/>
      <c r="I1" s="222"/>
      <c r="J1" s="222"/>
      <c r="K1" s="222"/>
      <c r="L1" s="222"/>
      <c r="M1" s="222"/>
      <c r="N1" s="222"/>
      <c r="O1" s="222"/>
      <c r="P1" s="222"/>
      <c r="Q1" s="222"/>
      <c r="R1" s="222"/>
      <c r="S1" s="222"/>
      <c r="T1" s="222"/>
      <c r="U1" s="222"/>
      <c r="V1" s="222"/>
      <c r="W1" s="222"/>
      <c r="X1" s="222"/>
      <c r="Y1" s="222"/>
      <c r="Z1" s="222"/>
      <c r="AA1" s="222"/>
      <c r="AB1" s="222"/>
      <c r="AC1" s="222"/>
      <c r="AD1" s="222"/>
      <c r="AE1" s="222"/>
      <c r="AF1" s="222"/>
      <c r="AG1" s="222"/>
      <c r="AH1" s="222"/>
      <c r="AI1" s="222"/>
      <c r="AJ1" s="222"/>
      <c r="AK1" s="222"/>
      <c r="AL1" s="222"/>
      <c r="AM1" s="222"/>
      <c r="AN1" s="195"/>
      <c r="AO1" s="196"/>
      <c r="AP1" s="196"/>
      <c r="AQ1" s="196"/>
      <c r="AR1" s="36"/>
    </row>
    <row r="2" spans="1:44" ht="21" customHeight="1" x14ac:dyDescent="0.25">
      <c r="A2" s="223"/>
      <c r="B2" s="223"/>
      <c r="C2" s="223"/>
      <c r="D2" s="223"/>
      <c r="E2" s="223"/>
      <c r="F2" s="223"/>
      <c r="G2" s="223" t="s">
        <v>861</v>
      </c>
      <c r="H2" s="223"/>
      <c r="I2" s="223"/>
      <c r="J2" s="223"/>
      <c r="K2" s="223"/>
      <c r="L2" s="223"/>
      <c r="M2" s="223"/>
      <c r="N2" s="223"/>
      <c r="O2" s="223"/>
      <c r="P2" s="223" t="s">
        <v>862</v>
      </c>
      <c r="Q2" s="223"/>
      <c r="R2" s="223"/>
      <c r="S2" s="223"/>
      <c r="T2" s="223" t="s">
        <v>863</v>
      </c>
      <c r="U2" s="223"/>
      <c r="V2" s="223"/>
      <c r="W2" s="223"/>
      <c r="X2" s="223"/>
      <c r="Y2" s="223"/>
      <c r="Z2" s="231" t="s">
        <v>864</v>
      </c>
      <c r="AA2" s="231"/>
      <c r="AB2" s="231"/>
      <c r="AC2" s="231"/>
      <c r="AD2" s="231"/>
      <c r="AE2" s="231"/>
      <c r="AF2" s="223"/>
      <c r="AG2" s="223"/>
      <c r="AH2" s="223"/>
      <c r="AI2" s="223"/>
      <c r="AJ2" s="223"/>
      <c r="AK2" s="223"/>
      <c r="AL2" s="223"/>
      <c r="AM2" s="223"/>
      <c r="AN2" s="196"/>
      <c r="AO2" s="196"/>
      <c r="AP2" s="196"/>
      <c r="AQ2" s="196"/>
      <c r="AR2" s="36"/>
    </row>
    <row r="3" spans="1:44" ht="21" customHeight="1" x14ac:dyDescent="0.25">
      <c r="A3" s="223"/>
      <c r="B3" s="223"/>
      <c r="C3" s="223"/>
      <c r="D3" s="223"/>
      <c r="E3" s="223"/>
      <c r="F3" s="223"/>
      <c r="G3" s="223"/>
      <c r="H3" s="223"/>
      <c r="I3" s="223"/>
      <c r="J3" s="223"/>
      <c r="K3" s="223"/>
      <c r="L3" s="223"/>
      <c r="M3" s="223"/>
      <c r="N3" s="223"/>
      <c r="O3" s="223"/>
      <c r="P3" s="223"/>
      <c r="Q3" s="223"/>
      <c r="R3" s="223"/>
      <c r="S3" s="223"/>
      <c r="T3" s="223"/>
      <c r="U3" s="223"/>
      <c r="V3" s="223"/>
      <c r="W3" s="223"/>
      <c r="X3" s="223"/>
      <c r="Y3" s="223"/>
      <c r="Z3" s="223" t="s">
        <v>865</v>
      </c>
      <c r="AA3" s="223"/>
      <c r="AB3" s="223"/>
      <c r="AC3" s="223"/>
      <c r="AD3" s="223"/>
      <c r="AE3" s="223"/>
      <c r="AF3" s="223"/>
      <c r="AG3" s="223"/>
      <c r="AH3" s="223"/>
      <c r="AI3" s="223"/>
      <c r="AJ3" s="223"/>
      <c r="AK3" s="223"/>
      <c r="AL3" s="223"/>
      <c r="AM3" s="223"/>
      <c r="AN3" s="110"/>
      <c r="AO3" s="110"/>
      <c r="AP3" s="110"/>
      <c r="AQ3" s="110"/>
      <c r="AR3" s="110"/>
    </row>
    <row r="4" spans="1:44" ht="99" x14ac:dyDescent="0.25">
      <c r="A4" s="39" t="s">
        <v>406</v>
      </c>
      <c r="B4" s="39" t="s">
        <v>407</v>
      </c>
      <c r="C4" s="39" t="s">
        <v>693</v>
      </c>
      <c r="D4" s="39" t="s">
        <v>694</v>
      </c>
      <c r="E4" s="39" t="s">
        <v>508</v>
      </c>
      <c r="F4" s="39" t="s">
        <v>509</v>
      </c>
      <c r="G4" s="39" t="s">
        <v>444</v>
      </c>
      <c r="H4" s="39" t="s">
        <v>445</v>
      </c>
      <c r="I4" s="39" t="s">
        <v>446</v>
      </c>
      <c r="J4" s="39" t="s">
        <v>447</v>
      </c>
      <c r="K4" s="39" t="s">
        <v>448</v>
      </c>
      <c r="L4" s="39" t="s">
        <v>449</v>
      </c>
      <c r="M4" s="39" t="s">
        <v>450</v>
      </c>
      <c r="N4" s="39" t="s">
        <v>451</v>
      </c>
      <c r="O4" s="39" t="s">
        <v>866</v>
      </c>
      <c r="P4" s="39" t="s">
        <v>903</v>
      </c>
      <c r="Q4" s="39" t="s">
        <v>868</v>
      </c>
      <c r="R4" s="39" t="s">
        <v>904</v>
      </c>
      <c r="S4" s="39" t="s">
        <v>870</v>
      </c>
      <c r="T4" s="39" t="s">
        <v>512</v>
      </c>
      <c r="U4" s="39" t="s">
        <v>871</v>
      </c>
      <c r="V4" s="39" t="s">
        <v>872</v>
      </c>
      <c r="W4" s="39" t="s">
        <v>873</v>
      </c>
      <c r="X4" s="39" t="s">
        <v>905</v>
      </c>
      <c r="Y4" s="39" t="s">
        <v>906</v>
      </c>
      <c r="Z4" s="39" t="s">
        <v>876</v>
      </c>
      <c r="AA4" s="39" t="s">
        <v>877</v>
      </c>
      <c r="AB4" s="39" t="s">
        <v>878</v>
      </c>
      <c r="AC4" s="39" t="s">
        <v>1140</v>
      </c>
      <c r="AD4" s="39" t="s">
        <v>1246</v>
      </c>
      <c r="AE4" s="39" t="s">
        <v>879</v>
      </c>
      <c r="AF4" s="39" t="s">
        <v>880</v>
      </c>
      <c r="AG4" s="39" t="s">
        <v>881</v>
      </c>
      <c r="AH4" s="39" t="s">
        <v>1136</v>
      </c>
      <c r="AI4" s="39" t="str">
        <f>IF(RtnInf.RtnYear&gt;"2023","Amount of Insurance/PRMF Relief (Total of ""Amount of Insurance/PRMF Relief"" from E_Computation_of_Insu_Relief) (Ksh) (S)","Amount of Insurance Relief (Total of ""Amount of Insurance Relief"" from E_Computation_of_Insu_Relief) (Ksh) (S)")</f>
        <v>Amount of Insurance Relief (Total of "Amount of Insurance Relief" from E_Computation_of_Insu_Relief) (Ksh) (S)</v>
      </c>
      <c r="AJ4" s="39" t="s">
        <v>907</v>
      </c>
      <c r="AK4" s="39" t="s">
        <v>908</v>
      </c>
      <c r="AL4" s="39" t="s">
        <v>909</v>
      </c>
      <c r="AM4" s="51" t="s">
        <v>883</v>
      </c>
      <c r="AN4" s="110"/>
      <c r="AO4" s="110"/>
      <c r="AP4" s="110"/>
      <c r="AQ4" s="110"/>
      <c r="AR4" s="110"/>
    </row>
    <row r="5" spans="1:44" ht="15.75" customHeight="1" x14ac:dyDescent="0.25">
      <c r="A5" s="40" t="s">
        <v>941</v>
      </c>
      <c r="B5" s="40"/>
      <c r="C5" s="33"/>
      <c r="D5" s="83"/>
      <c r="E5" s="41"/>
      <c r="F5" s="40"/>
      <c r="G5" s="42"/>
      <c r="H5" s="42"/>
      <c r="I5" s="42"/>
      <c r="J5" s="42"/>
      <c r="K5" s="42"/>
      <c r="L5" s="42"/>
      <c r="M5" s="42"/>
      <c r="N5" s="42"/>
      <c r="O5" s="53" t="str">
        <f>IF(A5="","",SUM(G5:N5))</f>
        <v/>
      </c>
      <c r="P5" s="42"/>
      <c r="Q5" s="42"/>
      <c r="R5" s="53" t="str">
        <f>IF(A5="","",IF(Q5&gt;3000,SUM(P5:Q5),P5))</f>
        <v/>
      </c>
      <c r="S5" s="109"/>
      <c r="T5" s="41"/>
      <c r="U5" s="109"/>
      <c r="V5" s="53" t="str">
        <f>IF(A5="","",IF(AO5="",0,IF(AO5="0",0,IF(AO5="3",10*(SUM(O5,R5))/100,IF(AO5="4",IF(S5="",0,S5*15/100),IF((15*(SUM(O5,R5))/100)&gt;U5,(15*(SUM(O5,R5))/100),U5))))))</f>
        <v/>
      </c>
      <c r="W5" s="109"/>
      <c r="X5" s="53" t="str">
        <f>IF(A5="","",ROUND(V5,2)-ROUND(W5,2))</f>
        <v/>
      </c>
      <c r="Y5" s="53" t="str">
        <f>IF(A5="","",SUM(O5,R5,S5,X5))</f>
        <v/>
      </c>
      <c r="Z5" s="55" t="str">
        <f>IF(A5="","",IF(AND(E5="Resident",F5="Primary Employee"),30*O5/100,"0.00"))</f>
        <v/>
      </c>
      <c r="AA5" s="109"/>
      <c r="AB5" s="55" t="str">
        <f>IF(A5="","",IF(AND(E5="Resident",F5="Primary Employee"),20000,"0.00"))</f>
        <v/>
      </c>
      <c r="AC5" s="109"/>
      <c r="AD5" s="109"/>
      <c r="AE5" s="54" t="str">
        <f>IF(A5="","",IF(AA5&lt;&gt;"",IF(Z5&lt;AA5,IF(Z5&lt;AB5,Z5,AB5),IF(AA5&lt;AB5,AA5,AB5)),IF(Z5&lt;AB5,Z5,AB5))+(IF(OR(AND(RtnInf.RtnMonth&gt;="03",RtnInf.RtnYear="2024"),RtnInf.RtnYear&gt;"2024"),AC5,IF(AC5&gt;AD5,AC5,AD5))))</f>
        <v/>
      </c>
      <c r="AF5" s="54" t="str">
        <f>IF(A5="","",ROUND(Y5,2)-ROUND(AE5,2))</f>
        <v/>
      </c>
      <c r="AG5" s="54" t="str">
        <f>IF(A5="","",getTotalTaxPaybleSecGH(AF5,F5,AP5,D5))</f>
        <v/>
      </c>
      <c r="AH5" s="109"/>
      <c r="AI5" s="109"/>
      <c r="AJ5" s="44" t="str">
        <f>IF(A5="","",IF(OR(AND(RtnInf.RtnMonth&gt;="03",RtnInf.RtnYear="2024"),RtnInf.RtnYear&gt;"2024"),IF(AG5-AH5-AI5-AD5&lt;0,0,AG5-AH5-AI5-AD5),IF(AG5-AH5-AI5&lt;0,0,AG5-AH5-AI5)))</f>
        <v/>
      </c>
      <c r="AK5" s="42"/>
      <c r="AL5" s="53" t="str">
        <f>IF(A5="","",IF(F5="","",ROUND(AJ5,2)-ROUND(AK5,2)))</f>
        <v/>
      </c>
      <c r="AM5" s="42"/>
      <c r="AN5" s="110" t="str">
        <f>IFERROR(LOOKUP(F5,TypeOFEmp,TypeOFEmpCode),"")</f>
        <v/>
      </c>
      <c r="AO5" s="110" t="str">
        <f>IFERROR(LOOKUP(T5,SortedTypeOfHousing,TypeOfHousingCode),"")</f>
        <v/>
      </c>
      <c r="AP5" s="110" t="str">
        <f>IFERROR(LOOKUP(C5,SortedMonthList,MonthCode),"")</f>
        <v/>
      </c>
      <c r="AQ5" s="110" t="str">
        <f>IFERROR(LOOKUP(E5,SortedResidentStatus,ResidentStatusCode),"")</f>
        <v/>
      </c>
      <c r="AR5" s="110" t="str">
        <f>IF(A5="","","ADEMP")</f>
        <v/>
      </c>
    </row>
    <row r="6" spans="1:44" ht="15.75" customHeight="1" x14ac:dyDescent="0.25">
      <c r="A6" s="40" t="s">
        <v>941</v>
      </c>
      <c r="B6" s="40"/>
      <c r="C6" s="33"/>
      <c r="D6" s="83"/>
      <c r="E6" s="41"/>
      <c r="F6" s="40"/>
      <c r="G6" s="42"/>
      <c r="H6" s="42"/>
      <c r="I6" s="42"/>
      <c r="J6" s="42"/>
      <c r="K6" s="42"/>
      <c r="L6" s="42"/>
      <c r="M6" s="42"/>
      <c r="N6" s="42"/>
      <c r="O6" s="54" t="str">
        <f>IF(A6="","",SUM(G6:N6))</f>
        <v/>
      </c>
      <c r="P6" s="42"/>
      <c r="Q6" s="42"/>
      <c r="R6" s="54" t="str">
        <f>IF(A6="","",IF(Q6&gt;3000,SUM(P6:Q6),P6))</f>
        <v/>
      </c>
      <c r="S6" s="109"/>
      <c r="T6" s="41"/>
      <c r="U6" s="109"/>
      <c r="V6" s="53" t="str">
        <f>IF(A6="","",IF(AO6="",0,IF(AO6="0",0,IF(AO6="3",10*(SUM(O6,R6))/100,IF(AO6="4",IF(S6="",0,S6*15/100),IF((15*(SUM(O6,R6))/100)&gt;U6,(15*(SUM(O6,R6))/100),U6))))))</f>
        <v/>
      </c>
      <c r="W6" s="109"/>
      <c r="X6" s="53" t="str">
        <f>IF(A6="","",ROUND(V6,2)-ROUND(W6,2))</f>
        <v/>
      </c>
      <c r="Y6" s="53" t="str">
        <f>IF(A6="","",SUM(O6,R6,S6,X6))</f>
        <v/>
      </c>
      <c r="Z6" s="44" t="str">
        <f>IF(A6="","",IF(AND(E6="Resident",F6="Primary Employee"),30*O6/100,"0.00"))</f>
        <v/>
      </c>
      <c r="AA6" s="109"/>
      <c r="AB6" s="44" t="str">
        <f>IF(A6="","",IF(AND(E6="Resident",F6="Primary Employee"),20000,"0.00"))</f>
        <v/>
      </c>
      <c r="AC6" s="109"/>
      <c r="AD6" s="109"/>
      <c r="AE6" s="54" t="str">
        <f>IF(A6="","",IF(AA6&lt;&gt;"",IF(Z5&lt;AA6,IF(Z6&lt;AB6,Z6,AB6),IF(AA6&lt;AB6,AA6,AB6)),IF(Z6&lt;AB6,Z6,AB6))+(IF(OR(AND(RtnInf.RtnMonth&gt;="03",RtnInf.RtnYear="2024"),RtnInf.RtnYear&gt;"2024"),AC6,IF(AC6&gt;AD6,AC6,AD6))))</f>
        <v/>
      </c>
      <c r="AF6" s="54" t="str">
        <f>IF(A6="","",ROUND(Y6,2)-ROUND(AE6,2))</f>
        <v/>
      </c>
      <c r="AG6" s="54" t="str">
        <f>IF(A6="","",getTotalTaxPaybleSecGH(AF6,F6,AP6,D6))</f>
        <v/>
      </c>
      <c r="AH6" s="109"/>
      <c r="AI6" s="109"/>
      <c r="AJ6" s="44" t="str">
        <f>IF(A6="","",IF(OR(AND(RtnInf.RtnMonth&gt;="03",RtnInf.RtnYear="2024"),RtnInf.RtnYear&gt;"2024"),IF(AG6-AH6-AI6-AD6&lt;0,0,AG6-AH6-AI6-AD6),IF(AG6-AH6-AI6&lt;0,0,AG6-AH6-AI6)))</f>
        <v/>
      </c>
      <c r="AK6" s="42"/>
      <c r="AL6" s="54" t="str">
        <f>IF(A6="","",IF(F6="","",ROUND(AJ6,2)-ROUND(AK6,2)))</f>
        <v/>
      </c>
      <c r="AM6" s="42"/>
      <c r="AN6" s="110" t="str">
        <f>IFERROR(LOOKUP(F6,TypeOFEmp,TypeOFEmpCode),"")</f>
        <v/>
      </c>
      <c r="AO6" s="110" t="str">
        <f>IFERROR(LOOKUP(T6,SortedTypeOfHousing,TypeOfHousingCode),"")</f>
        <v/>
      </c>
      <c r="AP6" s="110" t="str">
        <f>IFERROR(LOOKUP(C6,SortedMonthList,MonthCode),"")</f>
        <v/>
      </c>
      <c r="AQ6" s="110" t="str">
        <f>IFERROR(LOOKUP(E6,SortedResidentStatus,ResidentStatusCode),"")</f>
        <v/>
      </c>
      <c r="AR6" s="110" t="str">
        <f>IF(A6="","","ADEMP")</f>
        <v/>
      </c>
    </row>
    <row r="7" spans="1:44" ht="18" customHeight="1" x14ac:dyDescent="0.3">
      <c r="A7" s="230" t="s">
        <v>884</v>
      </c>
      <c r="B7" s="230"/>
      <c r="C7" s="230"/>
      <c r="D7" s="230"/>
      <c r="E7" s="230"/>
      <c r="F7" s="230"/>
      <c r="G7" s="230"/>
      <c r="H7" s="230"/>
      <c r="I7" s="230"/>
      <c r="J7" s="230"/>
      <c r="K7" s="230"/>
      <c r="L7" s="230"/>
      <c r="M7" s="230"/>
      <c r="N7" s="230"/>
      <c r="O7" s="230"/>
      <c r="P7" s="230"/>
      <c r="Q7" s="230"/>
      <c r="R7" s="230"/>
      <c r="S7" s="230"/>
      <c r="T7" s="230"/>
      <c r="U7" s="230"/>
      <c r="V7" s="230"/>
      <c r="W7" s="230"/>
      <c r="X7" s="230"/>
      <c r="Y7" s="230"/>
      <c r="Z7" s="230"/>
      <c r="AA7" s="230"/>
      <c r="AB7" s="230"/>
      <c r="AC7" s="230"/>
      <c r="AD7" s="230"/>
      <c r="AE7" s="230"/>
      <c r="AF7" s="230"/>
      <c r="AG7" s="230"/>
      <c r="AH7" s="230"/>
      <c r="AI7" s="230"/>
      <c r="AJ7" s="230"/>
      <c r="AK7" s="230"/>
      <c r="AL7" s="84">
        <f ca="1">SUM(AL5:OFFSET(DtlsArrSalPdBftsPayeDedFrmEmpListTO,-1,0))</f>
        <v>0</v>
      </c>
      <c r="AM7" s="84">
        <f ca="1">SUM(AM5:OFFSET(DtlsSalPdArrearDEListTO,-1,0))</f>
        <v>0</v>
      </c>
      <c r="AN7" s="110"/>
      <c r="AO7" s="110"/>
      <c r="AP7" s="110"/>
      <c r="AQ7" s="110"/>
      <c r="AR7" s="110"/>
    </row>
    <row r="8" spans="1:44" ht="37.5" customHeight="1" x14ac:dyDescent="0.25">
      <c r="A8" s="36"/>
      <c r="B8" s="36"/>
      <c r="C8" s="36"/>
      <c r="D8" s="36"/>
      <c r="E8" s="36"/>
      <c r="F8" s="36"/>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row>
    <row r="9" spans="1:44" ht="37.5" customHeight="1" x14ac:dyDescent="0.25">
      <c r="A9" s="36"/>
      <c r="B9" s="36"/>
      <c r="C9" s="36"/>
      <c r="D9" s="36"/>
      <c r="E9" s="36"/>
      <c r="F9" s="36"/>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row>
  </sheetData>
  <sheetProtection selectLockedCells="1"/>
  <mergeCells count="12">
    <mergeCell ref="A7:AK7"/>
    <mergeCell ref="A1:AM1"/>
    <mergeCell ref="A2:F3"/>
    <mergeCell ref="G2:O3"/>
    <mergeCell ref="P2:R3"/>
    <mergeCell ref="S2:S3"/>
    <mergeCell ref="T2:X3"/>
    <mergeCell ref="Y2:Y3"/>
    <mergeCell ref="Z2:AE2"/>
    <mergeCell ref="AF2:AM3"/>
    <mergeCell ref="Z3:AB3"/>
    <mergeCell ref="AC3:AE3"/>
  </mergeCells>
  <dataValidations xWindow="443" yWindow="431" count="9">
    <dataValidation type="decimal" allowBlank="1" showInputMessage="1" showErrorMessage="1" errorTitle="Data Error:" error="Please enter positive numeric value of length less than or equal to 15 digit." promptTitle="Numeric:" prompt="Enter numeric value of length less than or equal to 15 digit." sqref="G5:N6 Q5:Q6 S5:S6 U5:U6 W5:W6 AA5:AA6 AC5:AD6 AH5:AI6 AK5:AK6 AM5:AM6" xr:uid="{2F5E33A2-C1F0-483E-844F-6E4F37BE32B3}">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xr:uid="{89D2FE27-48C4-4893-83A6-BC75A1E469A9}">
      <formula1>50</formula1>
      <formula2>0</formula2>
    </dataValidation>
    <dataValidation type="textLength" allowBlank="1" showInputMessage="1" showErrorMessage="1" errorTitle="Data Error:" error="Please enter PIN in proper format.  " promptTitle="Alphanumeric:" prompt="Enter 11 digit alphanumeric values for PIN. " sqref="A5:A6" xr:uid="{EDE611DF-9B2C-4285-9224-15715E83D594}">
      <formula1>11</formula1>
      <formula2>11</formula2>
    </dataValidation>
    <dataValidation type="list" allowBlank="1" showInputMessage="1" showErrorMessage="1" errorTitle="Data Error:" error="Please select data from DropDown Only." promptTitle="List:" prompt="Select data from DropDown List." sqref="F5:F6" xr:uid="{99F2B9BA-91F1-4B04-850D-F2A5656AA929}">
      <formula1>TypeOFEmp</formula1>
      <formula2>0</formula2>
    </dataValidation>
    <dataValidation type="list" allowBlank="1" showInputMessage="1" showErrorMessage="1" errorTitle="Data Error:" error="Please select data from DropDown Only." promptTitle="List:" prompt="Select data from DropDown List." sqref="C5:C6" xr:uid="{60C9F4FC-635C-41F1-8D1A-3D982443A25F}">
      <formula1>MonthList</formula1>
      <formula2>0</formula2>
    </dataValidation>
    <dataValidation type="list" allowBlank="1" showInputMessage="1" showErrorMessage="1" errorTitle="Data Error:" error="Please select data from DropDown Only." promptTitle="List:" prompt="Select data from DropDown List." sqref="D5:D6" xr:uid="{3D3C1E68-3B79-4EAC-B698-6DB0AF6B92D8}">
      <formula1>OtherYear2</formula1>
      <formula2>0</formula2>
    </dataValidation>
    <dataValidation type="list" allowBlank="1" showInputMessage="1" showErrorMessage="1" errorTitle="Data Error:" error="Please select data from DropDown Only." promptTitle="List:" prompt="Select data from DropDown List. _x000a_" sqref="T5:T6" xr:uid="{5B7B7FB4-0EE9-49DA-B99A-765E6E157BA4}">
      <formula1>TypeOfHousing</formula1>
      <formula2>0</formula2>
    </dataValidation>
    <dataValidation type="list" allowBlank="1" showInputMessage="1" showErrorMessage="1" errorTitle="Data Error:" error="Please select data from DropDown Only." promptTitle="List:" prompt="Select data from DropDown List. _x000a_" sqref="E5:E6" xr:uid="{E0E74D34-69B9-4BD0-B238-04A072767095}">
      <formula1>ResidentStatus</formula1>
      <formula2>0</formula2>
    </dataValidation>
    <dataValidation type="decimal" allowBlank="1" showInputMessage="1" showErrorMessage="1" errorTitle="Data Error:" error="Please enter positive numeric value of length less than or equal to 15 digit._x000a_" promptTitle="Numeric:" prompt="Enter numeric value of length less than or equal to 15 digit." sqref="P5:P6" xr:uid="{5D092DA5-C4A3-4B00-989D-33E0C754C80B}">
      <formula1>0</formula1>
      <formula2>999999999999999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75582-7307-4411-981C-1085ED3F4EA9}">
  <sheetPr codeName="Sheet16"/>
  <dimension ref="A1:AT9"/>
  <sheetViews>
    <sheetView topLeftCell="A2" workbookViewId="0">
      <selection activeCell="A5" sqref="A5"/>
    </sheetView>
  </sheetViews>
  <sheetFormatPr defaultColWidth="0" defaultRowHeight="15" zeroHeight="1" x14ac:dyDescent="0.25"/>
  <cols>
    <col min="1" max="41" width="27.7109375" customWidth="1"/>
    <col min="42" max="46" width="3.5703125" customWidth="1"/>
  </cols>
  <sheetData>
    <row r="1" spans="1:46" ht="33.75" customHeight="1" x14ac:dyDescent="0.25">
      <c r="A1" s="222" t="s">
        <v>910</v>
      </c>
      <c r="B1" s="222"/>
      <c r="C1" s="222"/>
      <c r="D1" s="222"/>
      <c r="E1" s="222"/>
      <c r="F1" s="222"/>
      <c r="G1" s="222"/>
      <c r="H1" s="222"/>
      <c r="I1" s="222"/>
      <c r="J1" s="222"/>
      <c r="K1" s="222"/>
      <c r="L1" s="222"/>
      <c r="M1" s="222"/>
      <c r="N1" s="222"/>
      <c r="O1" s="222"/>
      <c r="P1" s="222"/>
      <c r="Q1" s="222"/>
      <c r="R1" s="222"/>
      <c r="S1" s="222"/>
      <c r="T1" s="222"/>
      <c r="U1" s="222"/>
      <c r="V1" s="222"/>
      <c r="W1" s="222"/>
      <c r="X1" s="222"/>
      <c r="Y1" s="222"/>
      <c r="Z1" s="222"/>
      <c r="AA1" s="222"/>
      <c r="AB1" s="222"/>
      <c r="AC1" s="222"/>
      <c r="AD1" s="222"/>
      <c r="AE1" s="222"/>
      <c r="AF1" s="222"/>
      <c r="AG1" s="222"/>
      <c r="AH1" s="222"/>
      <c r="AI1" s="222"/>
      <c r="AJ1" s="222"/>
      <c r="AK1" s="222"/>
      <c r="AL1" s="222"/>
      <c r="AM1" s="222"/>
      <c r="AN1" s="222"/>
      <c r="AO1" s="222"/>
      <c r="AP1" s="197"/>
      <c r="AQ1" s="110"/>
      <c r="AR1" s="110"/>
      <c r="AS1" s="110"/>
      <c r="AT1" s="110"/>
    </row>
    <row r="2" spans="1:46" ht="21" customHeight="1" x14ac:dyDescent="0.25">
      <c r="A2" s="223"/>
      <c r="B2" s="223"/>
      <c r="C2" s="223"/>
      <c r="D2" s="223"/>
      <c r="E2" s="223"/>
      <c r="F2" s="223"/>
      <c r="G2" s="223"/>
      <c r="H2" s="223" t="s">
        <v>861</v>
      </c>
      <c r="I2" s="223"/>
      <c r="J2" s="223"/>
      <c r="K2" s="223"/>
      <c r="L2" s="223"/>
      <c r="M2" s="223"/>
      <c r="N2" s="223"/>
      <c r="O2" s="223"/>
      <c r="P2" s="223"/>
      <c r="Q2" s="223" t="s">
        <v>862</v>
      </c>
      <c r="R2" s="223"/>
      <c r="S2" s="223"/>
      <c r="T2" s="223"/>
      <c r="U2" s="223" t="s">
        <v>863</v>
      </c>
      <c r="V2" s="223"/>
      <c r="W2" s="223"/>
      <c r="X2" s="223"/>
      <c r="Y2" s="223"/>
      <c r="Z2" s="223"/>
      <c r="AA2" s="223" t="s">
        <v>864</v>
      </c>
      <c r="AB2" s="223"/>
      <c r="AC2" s="223"/>
      <c r="AD2" s="223"/>
      <c r="AE2" s="223"/>
      <c r="AF2" s="223"/>
      <c r="AG2" s="225"/>
      <c r="AH2" s="225"/>
      <c r="AI2" s="225"/>
      <c r="AJ2" s="225"/>
      <c r="AK2" s="225"/>
      <c r="AL2" s="225"/>
      <c r="AM2" s="225"/>
      <c r="AN2" s="225"/>
      <c r="AO2" s="225"/>
      <c r="AP2" s="197"/>
      <c r="AQ2" s="110"/>
      <c r="AR2" s="110"/>
      <c r="AS2" s="110"/>
      <c r="AT2" s="110"/>
    </row>
    <row r="3" spans="1:46" ht="21" customHeight="1" x14ac:dyDescent="0.25">
      <c r="A3" s="223"/>
      <c r="B3" s="223"/>
      <c r="C3" s="223"/>
      <c r="D3" s="223"/>
      <c r="E3" s="223"/>
      <c r="F3" s="223"/>
      <c r="G3" s="223"/>
      <c r="H3" s="223"/>
      <c r="I3" s="223"/>
      <c r="J3" s="223"/>
      <c r="K3" s="223"/>
      <c r="L3" s="223"/>
      <c r="M3" s="223"/>
      <c r="N3" s="223"/>
      <c r="O3" s="223"/>
      <c r="P3" s="223"/>
      <c r="Q3" s="223"/>
      <c r="R3" s="223"/>
      <c r="S3" s="223"/>
      <c r="T3" s="223"/>
      <c r="U3" s="223"/>
      <c r="V3" s="223"/>
      <c r="W3" s="223"/>
      <c r="X3" s="223"/>
      <c r="Y3" s="223"/>
      <c r="Z3" s="223"/>
      <c r="AA3" s="233" t="s">
        <v>865</v>
      </c>
      <c r="AB3" s="233"/>
      <c r="AC3" s="233"/>
      <c r="AD3" s="223"/>
      <c r="AE3" s="223"/>
      <c r="AF3" s="223"/>
      <c r="AG3" s="225"/>
      <c r="AH3" s="225"/>
      <c r="AI3" s="225"/>
      <c r="AJ3" s="225"/>
      <c r="AK3" s="225"/>
      <c r="AL3" s="225"/>
      <c r="AM3" s="225"/>
      <c r="AN3" s="225"/>
      <c r="AO3" s="225"/>
      <c r="AP3" s="197"/>
      <c r="AQ3" s="110"/>
      <c r="AR3" s="110"/>
      <c r="AS3" s="110"/>
      <c r="AT3" s="110"/>
    </row>
    <row r="4" spans="1:46" ht="99" x14ac:dyDescent="0.25">
      <c r="A4" s="39" t="s">
        <v>406</v>
      </c>
      <c r="B4" s="39" t="s">
        <v>407</v>
      </c>
      <c r="C4" s="39" t="s">
        <v>693</v>
      </c>
      <c r="D4" s="39" t="s">
        <v>694</v>
      </c>
      <c r="E4" s="39" t="s">
        <v>508</v>
      </c>
      <c r="F4" s="39" t="s">
        <v>509</v>
      </c>
      <c r="G4" s="39" t="s">
        <v>565</v>
      </c>
      <c r="H4" s="39" t="s">
        <v>444</v>
      </c>
      <c r="I4" s="39" t="s">
        <v>445</v>
      </c>
      <c r="J4" s="39" t="s">
        <v>446</v>
      </c>
      <c r="K4" s="39" t="s">
        <v>447</v>
      </c>
      <c r="L4" s="39" t="s">
        <v>448</v>
      </c>
      <c r="M4" s="39" t="s">
        <v>449</v>
      </c>
      <c r="N4" s="39" t="s">
        <v>450</v>
      </c>
      <c r="O4" s="39" t="s">
        <v>451</v>
      </c>
      <c r="P4" s="39" t="s">
        <v>866</v>
      </c>
      <c r="Q4" s="39" t="s">
        <v>903</v>
      </c>
      <c r="R4" s="39" t="s">
        <v>868</v>
      </c>
      <c r="S4" s="39" t="s">
        <v>904</v>
      </c>
      <c r="T4" s="39" t="s">
        <v>870</v>
      </c>
      <c r="U4" s="39" t="s">
        <v>512</v>
      </c>
      <c r="V4" s="39" t="s">
        <v>871</v>
      </c>
      <c r="W4" s="39" t="s">
        <v>872</v>
      </c>
      <c r="X4" s="39" t="s">
        <v>873</v>
      </c>
      <c r="Y4" s="39" t="s">
        <v>905</v>
      </c>
      <c r="Z4" s="39" t="s">
        <v>906</v>
      </c>
      <c r="AA4" s="39" t="s">
        <v>876</v>
      </c>
      <c r="AB4" s="39" t="s">
        <v>877</v>
      </c>
      <c r="AC4" s="39" t="s">
        <v>878</v>
      </c>
      <c r="AD4" s="39" t="s">
        <v>1140</v>
      </c>
      <c r="AE4" s="39" t="s">
        <v>1246</v>
      </c>
      <c r="AF4" s="39" t="s">
        <v>879</v>
      </c>
      <c r="AG4" s="49" t="s">
        <v>888</v>
      </c>
      <c r="AH4" s="39" t="s">
        <v>889</v>
      </c>
      <c r="AI4" s="39" t="s">
        <v>890</v>
      </c>
      <c r="AJ4" s="39" t="s">
        <v>1136</v>
      </c>
      <c r="AK4" s="49" t="str">
        <f>IF(RtnInf.RtnYear&gt;"2023","Amount of Insurance/PRMF Relief (Total of ""Amount of Insurance/PRMF Relief"" from E_Computation_of_Insu_Relief) (Ksh) (T)","Amount of Insurance Relief (Total of ""Amount of Insurance Relief"" from E_Computation_of_Insu_Relief) (Ksh) (T)")</f>
        <v>Amount of Insurance Relief (Total of "Amount of Insurance Relief" from E_Computation_of_Insu_Relief) (Ksh) (T)</v>
      </c>
      <c r="AL4" s="49" t="s">
        <v>891</v>
      </c>
      <c r="AM4" s="85" t="s">
        <v>911</v>
      </c>
      <c r="AN4" s="86" t="s">
        <v>912</v>
      </c>
      <c r="AO4" s="39" t="s">
        <v>883</v>
      </c>
      <c r="AP4" s="110"/>
      <c r="AQ4" s="110"/>
      <c r="AR4" s="110"/>
      <c r="AS4" s="110"/>
      <c r="AT4" s="110"/>
    </row>
    <row r="5" spans="1:46" ht="15.75" x14ac:dyDescent="0.25">
      <c r="A5" s="40"/>
      <c r="B5" s="40"/>
      <c r="C5" s="33"/>
      <c r="D5" s="83"/>
      <c r="E5" s="41"/>
      <c r="F5" s="40"/>
      <c r="G5" s="83"/>
      <c r="H5" s="42"/>
      <c r="I5" s="42"/>
      <c r="J5" s="42"/>
      <c r="K5" s="42"/>
      <c r="L5" s="42"/>
      <c r="M5" s="42"/>
      <c r="N5" s="42"/>
      <c r="O5" s="42"/>
      <c r="P5" s="53" t="str">
        <f>IF(A5="","",SUM(H5:O5))</f>
        <v/>
      </c>
      <c r="Q5" s="42"/>
      <c r="R5" s="42"/>
      <c r="S5" s="53" t="str">
        <f>IF(A5="","",IF(R5&gt;3000,SUM(Q5:R5),Q5))</f>
        <v/>
      </c>
      <c r="T5" s="109"/>
      <c r="U5" s="41"/>
      <c r="V5" s="109"/>
      <c r="W5" s="53" t="str">
        <f>IF(A5="","",IF(AQ5="",0,IF(AQ5="0",0,IF(AQ5="3",10*(SUM(P5,S5))/100,IF(AQ5="4",IF(T5="",0,T5*15/100),IF((15*(SUM(P5,S5))/100)&gt;V5,(15*(SUM(P5,S5))/100),V5))))))</f>
        <v/>
      </c>
      <c r="X5" s="109"/>
      <c r="Y5" s="53" t="str">
        <f>IF(A5="","",ROUND(W5,2)-ROUND(X5,2))</f>
        <v/>
      </c>
      <c r="Z5" s="53" t="str">
        <f>IF(A5="","",SUM(P5,S5,T5,Y5))</f>
        <v/>
      </c>
      <c r="AA5" s="55" t="str">
        <f>IF(A5="","",IF(AND(E5="Resident",F5="Primary Employee"),30*P5/100,"0.00"))</f>
        <v/>
      </c>
      <c r="AB5" s="109"/>
      <c r="AC5" s="55" t="str">
        <f>IF(A5="","",IF(AND(E5="Resident",F5="Primary Employee"),20000,"0.00"))</f>
        <v/>
      </c>
      <c r="AD5" s="109"/>
      <c r="AE5" s="109"/>
      <c r="AF5" s="54" t="str">
        <f>IF(A5="","",IF(AB5&lt;&gt;"",IF(AA5&lt;AB5,IF(AA5&lt;AC5,AA5,AC5),IF(AB5&lt;AC5,AB5,AC5)),IF(AA5&lt;AC5,AA5,AC5))+(IF(OR(AND(RtnInf.RtnMonth&gt;="03",RtnInf.RtnYear="2024"),RtnInf.RtnYear&gt;"2024"),AD5,IF(AD5&gt;AE5,AD5,AE5))))</f>
        <v/>
      </c>
      <c r="AG5" s="54" t="str">
        <f>IF(A5="","",150000)</f>
        <v/>
      </c>
      <c r="AH5" s="54" t="str">
        <f>IF(A5="","",IF(AG5="","",ROUND(Z5,2)-ROUND(AF5,2)-ROUND(AG5,2)))</f>
        <v/>
      </c>
      <c r="AI5" s="54" t="str">
        <f>IF(A5="","",getTotalTaxPaybleSecGH(AH5,F5,AR5,D5))</f>
        <v/>
      </c>
      <c r="AJ5" s="109"/>
      <c r="AK5" s="109"/>
      <c r="AL5" s="44" t="str">
        <f>IF(A5="","",IF(OR(AND(RtnInf.RtnMonth&gt;="03",RtnInf.RtnYear="2024"),RtnInf.RtnYear&gt;"2024"),IF(AI5-AJ5-AK5-AE5&lt;0,0,AI5-AJ5-AK5-AE5),IF(AI5-AJ5-AK5&lt;0,0,AI5-AJ5-AK5)))</f>
        <v/>
      </c>
      <c r="AM5" s="42"/>
      <c r="AN5" s="87" t="str">
        <f>IF(A5="","",IF(F5="","",ROUND(AL5,2)-ROUND(AM5,2)))</f>
        <v/>
      </c>
      <c r="AO5" s="42"/>
      <c r="AP5" s="110" t="str">
        <f>IFERROR(LOOKUP(F5,TypeOFEmp,TypeOFEmpCode),"")</f>
        <v/>
      </c>
      <c r="AQ5" s="110" t="str">
        <f>IFERROR(LOOKUP(U5,SortedTypeOfHousing,TypeOfHousingCode),"")</f>
        <v/>
      </c>
      <c r="AR5" s="110" t="str">
        <f>IFERROR(LOOKUP(C5,SortedMonthList,MonthCode),"")</f>
        <v/>
      </c>
      <c r="AS5" s="110" t="str">
        <f>IFERROR(LOOKUP(E5,SortedResidentStatus,ResidentStatusCode),"")</f>
        <v/>
      </c>
      <c r="AT5" s="110" t="str">
        <f>IF(B5="","","ADDSBEMP")</f>
        <v/>
      </c>
    </row>
    <row r="6" spans="1:46" ht="15.75" x14ac:dyDescent="0.25">
      <c r="A6" s="40" t="s">
        <v>941</v>
      </c>
      <c r="B6" s="40"/>
      <c r="C6" s="33"/>
      <c r="D6" s="83"/>
      <c r="E6" s="41"/>
      <c r="F6" s="40"/>
      <c r="G6" s="83"/>
      <c r="H6" s="42"/>
      <c r="I6" s="42"/>
      <c r="J6" s="42"/>
      <c r="K6" s="42"/>
      <c r="L6" s="42"/>
      <c r="M6" s="42"/>
      <c r="N6" s="42"/>
      <c r="O6" s="42"/>
      <c r="P6" s="54" t="str">
        <f>IF(A6="","",SUM(H6:O6))</f>
        <v/>
      </c>
      <c r="Q6" s="42"/>
      <c r="R6" s="42"/>
      <c r="S6" s="54" t="str">
        <f>IF(A6="","",IF(R6&gt;3000,SUM(Q6:R6),Q6))</f>
        <v/>
      </c>
      <c r="T6" s="109"/>
      <c r="U6" s="41"/>
      <c r="V6" s="109"/>
      <c r="W6" s="53" t="str">
        <f>IF(A6="","",IF(AQ6="",0,IF(AQ6="0",0,IF(AQ6="3",10*(SUM(P6,S6))/100,IF(AQ6="4",IF(T6="",0,T6*15/100),IF((15*(SUM(P6,S6))/100)&gt;V6,(15*(SUM(P6,S6))/100),V6))))))</f>
        <v/>
      </c>
      <c r="X6" s="109"/>
      <c r="Y6" s="53" t="str">
        <f>IF(A6="","",ROUND(W6,2)-ROUND(X6,2))</f>
        <v/>
      </c>
      <c r="Z6" s="53" t="str">
        <f>IF(A6="","",SUM(P6,S6,T6,Y6))</f>
        <v/>
      </c>
      <c r="AA6" s="44" t="str">
        <f>IF(A6="","",IF(AND(E6="Resident",F6="Primary Employee"),30*P6/100,"0.00"))</f>
        <v/>
      </c>
      <c r="AB6" s="109"/>
      <c r="AC6" s="44" t="str">
        <f>IF(A6="","",IF(AND(E6="Resident",F6="Primary Employee"),20000,"0.00"))</f>
        <v/>
      </c>
      <c r="AD6" s="109"/>
      <c r="AE6" s="109"/>
      <c r="AF6" s="54" t="str">
        <f>IF(A6="","",IF(AB6&lt;&gt;"",IF(AA6&lt;AB6,IF(AA6&lt;AC6,AA6,AC6),IF(AB6&lt;AC6,AB6,AC6)),IF(AA6&lt;AC6,AA6,AC6))+(IF(OR(AND(RtnInf.RtnMonth&gt;="03",RtnInf.RtnYear="2024"),RtnInf.RtnYear&gt;"2024"),AD6,IF(AD6&gt;AE6,AD6,AE6))))</f>
        <v/>
      </c>
      <c r="AG6" s="54" t="str">
        <f>IF(A6="","",150000)</f>
        <v/>
      </c>
      <c r="AH6" s="54" t="str">
        <f>IF(A6="","",IF(AG6="","",ROUND(Z6,2)-ROUND(AF6,2)-ROUND(AG6,2)))</f>
        <v/>
      </c>
      <c r="AI6" s="54" t="str">
        <f>IF(A6="","",getTotalTaxPaybleSecGH(AH6,F6,AR6,D6))</f>
        <v/>
      </c>
      <c r="AJ6" s="109"/>
      <c r="AK6" s="109"/>
      <c r="AL6" s="44" t="str">
        <f>IF(A6="","",IF(OR(AND(RtnInf.RtnMonth&gt;="03",RtnInf.RtnYear="2024"),RtnInf.RtnYear&gt;"2024"),IF(AI6-AJ6-AK6-AE6&lt;0,0,AI6-AJ6-AK6-AE6),IF(AI6-AJ6-AK6&lt;0,0,AI6-AJ6-AK6)))</f>
        <v/>
      </c>
      <c r="AM6" s="42"/>
      <c r="AN6" s="88" t="str">
        <f>IF(A6="","",IF(F6="","",ROUND(AL6,2)-ROUND(AM6,2)))</f>
        <v/>
      </c>
      <c r="AO6" s="42"/>
      <c r="AP6" s="110" t="str">
        <f>IFERROR(LOOKUP(F6,TypeOFEmp,TypeOFEmpCode),"")</f>
        <v/>
      </c>
      <c r="AQ6" s="110" t="str">
        <f>IFERROR(LOOKUP(U6,SortedTypeOfHousing,TypeOfHousingCode),"")</f>
        <v/>
      </c>
      <c r="AR6" s="110" t="str">
        <f>IFERROR(LOOKUP(C6,SortedMonthList,MonthCode),"")</f>
        <v/>
      </c>
      <c r="AS6" s="110" t="str">
        <f>IFERROR(LOOKUP(E6,SortedResidentStatus,ResidentStatusCode),"")</f>
        <v/>
      </c>
      <c r="AT6" s="110" t="str">
        <f>IF(B6="","","ADDSBEMP")</f>
        <v/>
      </c>
    </row>
    <row r="7" spans="1:46" ht="17.25" customHeight="1" x14ac:dyDescent="0.3">
      <c r="A7" s="232" t="s">
        <v>884</v>
      </c>
      <c r="B7" s="232"/>
      <c r="C7" s="232"/>
      <c r="D7" s="232"/>
      <c r="E7" s="232"/>
      <c r="F7" s="232"/>
      <c r="G7" s="232"/>
      <c r="H7" s="232"/>
      <c r="I7" s="232"/>
      <c r="J7" s="232"/>
      <c r="K7" s="232"/>
      <c r="L7" s="232"/>
      <c r="M7" s="232"/>
      <c r="N7" s="232"/>
      <c r="O7" s="232"/>
      <c r="P7" s="232"/>
      <c r="Q7" s="232"/>
      <c r="R7" s="232"/>
      <c r="S7" s="232"/>
      <c r="T7" s="232"/>
      <c r="U7" s="232"/>
      <c r="V7" s="232"/>
      <c r="W7" s="232"/>
      <c r="X7" s="232"/>
      <c r="Y7" s="232"/>
      <c r="Z7" s="232"/>
      <c r="AA7" s="232"/>
      <c r="AB7" s="232"/>
      <c r="AC7" s="232"/>
      <c r="AD7" s="232"/>
      <c r="AE7" s="232"/>
      <c r="AF7" s="232"/>
      <c r="AG7" s="232"/>
      <c r="AH7" s="232"/>
      <c r="AI7" s="232"/>
      <c r="AJ7" s="232"/>
      <c r="AK7" s="232"/>
      <c r="AL7" s="232"/>
      <c r="AM7" s="232"/>
      <c r="AN7" s="89">
        <f ca="1">SUM(AN5:OFFSET(DtlsArrSalPdBftsPayeDedFrmDsblEmpListTO,-1,0))</f>
        <v>0</v>
      </c>
      <c r="AO7" s="84">
        <f ca="1">SUM(AO5:OFFSET(DtlsArrSalPdBftsPayeSelfPayeListTO,-1,0))</f>
        <v>0</v>
      </c>
      <c r="AP7" s="110"/>
      <c r="AQ7" s="110"/>
      <c r="AR7" s="110"/>
      <c r="AS7" s="110"/>
      <c r="AT7" s="110"/>
    </row>
    <row r="8" spans="1:46" ht="37.5" customHeight="1" x14ac:dyDescent="0.25">
      <c r="A8" s="36"/>
      <c r="B8" s="36"/>
      <c r="C8" s="36"/>
      <c r="D8" s="36"/>
      <c r="E8" s="36"/>
      <c r="F8" s="36"/>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row>
    <row r="9" spans="1:46" ht="37.5" customHeight="1" x14ac:dyDescent="0.25">
      <c r="A9" s="36"/>
      <c r="B9" s="36"/>
      <c r="C9" s="36"/>
      <c r="D9" s="36"/>
      <c r="E9" s="36"/>
      <c r="F9" s="36"/>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row>
  </sheetData>
  <sheetProtection selectLockedCells="1"/>
  <mergeCells count="12">
    <mergeCell ref="A7:AM7"/>
    <mergeCell ref="A1:AO1"/>
    <mergeCell ref="A2:G3"/>
    <mergeCell ref="H2:P3"/>
    <mergeCell ref="Q2:S3"/>
    <mergeCell ref="T2:T3"/>
    <mergeCell ref="U2:Y3"/>
    <mergeCell ref="Z2:Z3"/>
    <mergeCell ref="AA2:AF2"/>
    <mergeCell ref="AG2:AO3"/>
    <mergeCell ref="AA3:AC3"/>
    <mergeCell ref="AD3:AF3"/>
  </mergeCells>
  <dataValidations xWindow="820" yWindow="465" count="11">
    <dataValidation type="decimal" allowBlank="1" showInputMessage="1" showErrorMessage="1" errorTitle="Data Error:" error="Please enter positive numeric value of length less than or equal to 15 digit." promptTitle="Numeric:" prompt="Enter numeric value of length less than or equal to 15 digit." sqref="H5:O6 AO5:AO6 AM5:AM6 AJ5:AK6 AD5:AE6 AB5:AB6 X5:X6 V5:V6 T5:T6 R5:R6" xr:uid="{09411DEE-6E14-4D49-A3D7-BA4304550F42}">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xr:uid="{0EB47AE2-03A8-45CA-A22A-2F1BCB97A76D}">
      <formula1>50</formula1>
      <formula2>0</formula2>
    </dataValidation>
    <dataValidation type="textLength" allowBlank="1" showInputMessage="1" showErrorMessage="1" errorTitle="Data Error:" error="Please enter PIN in proper format.  " promptTitle="Alphanumeric:" prompt="Enter 11 digit alphanumeric values for PIN. " sqref="A5:A6" xr:uid="{22E07C5D-8C7F-4838-A492-E6AEE57301FB}">
      <formula1>11</formula1>
      <formula2>11</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G6" xr:uid="{C18AC94F-576E-487C-933A-46D0551C1BC8}">
      <formula1>20</formula1>
      <formula2>0</formula2>
    </dataValidation>
    <dataValidation type="decimal" allowBlank="1" showInputMessage="1" showErrorMessage="1" errorTitle="Data Error:" error="Please enter positive numeric value of length less than or equal to 15 digit._x000a_" promptTitle="Numeric:" prompt="Enter numeric value of length less than or equal to 15 digit." sqref="Q5:Q6" xr:uid="{E74D05A8-7645-4189-99AD-9A34930F67BC}">
      <formula1>0</formula1>
      <formula2>999999999999999</formula2>
    </dataValidation>
    <dataValidation type="list" allowBlank="1" showInputMessage="1" showErrorMessage="1" errorTitle="Data Error:" error="Please select data from DropDown Only." promptTitle="List:" prompt="Select data from DropDown List. _x000a_" sqref="U5:U6" xr:uid="{1C8EB316-BF0C-4FD3-A3D6-73F0AD73C5B7}">
      <formula1>TypeOfHousing</formula1>
      <formula2>0</formula2>
    </dataValidation>
    <dataValidation type="list" allowBlank="1" showInputMessage="1" showErrorMessage="1" errorTitle="Data Error:" error="Please select data from DropDown Only." promptTitle="List:" prompt="Select data from DropDown List." sqref="D5:D6" xr:uid="{45DBE3EA-077B-404F-94DF-400EACF341C3}">
      <formula1>OtherYear2</formula1>
      <formula2>0</formula2>
    </dataValidation>
    <dataValidation type="list" allowBlank="1" showInputMessage="1" showErrorMessage="1" errorTitle="Data Error:" error="Please select data from DropDown Only." promptTitle="List:" prompt="Select data from DropDown List." sqref="C5:C6" xr:uid="{0EF90705-9F2F-42CA-B26F-9427EA5BD1BD}">
      <formula1>MonthList</formula1>
      <formula2>0</formula2>
    </dataValidation>
    <dataValidation type="list" allowBlank="1" showInputMessage="1" showErrorMessage="1" errorTitle="Data Error:" error="Please select data from DropDown Only." promptTitle="List:" prompt="Select data from DropDown List." sqref="F5:F6" xr:uid="{0E1D2EAA-5955-4F69-AF77-27CD8B79C922}">
      <formula1>TypeOFEmp</formula1>
      <formula2>0</formula2>
    </dataValidation>
    <dataValidation type="list" allowBlank="1" showInputMessage="1" showErrorMessage="1" errorTitle="Data Error:" error="Please select data from DropDown Only." promptTitle="List:" prompt="Select data from DropDown List. _x000a_" sqref="E5:E6" xr:uid="{9DE3AF4B-72B9-4620-BDB3-26E99EC4835C}">
      <formula1>ResidentStatus</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Only Special characters like ( space : - , / . \n ' &amp; ( ) ` $ % { } ! |  # :) are allowed." sqref="G5" xr:uid="{BB481DA5-FBD7-4375-9CA1-EE21403A9061}">
      <formula1>20</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F5E90-B907-4FFA-86EB-810B1B590C2C}">
  <sheetPr codeName="Sheet18"/>
  <dimension ref="A1:L13"/>
  <sheetViews>
    <sheetView topLeftCell="A2" zoomScaleNormal="100" workbookViewId="0">
      <selection activeCell="B3" sqref="B3"/>
    </sheetView>
  </sheetViews>
  <sheetFormatPr defaultColWidth="0" defaultRowHeight="15" zeroHeight="1" x14ac:dyDescent="0.25"/>
  <cols>
    <col min="1" max="8" width="27.7109375" customWidth="1"/>
    <col min="9" max="11" width="7.28515625" style="112" customWidth="1"/>
  </cols>
  <sheetData>
    <row r="1" spans="1:12" ht="33.75" customHeight="1" x14ac:dyDescent="0.25">
      <c r="A1" s="234" t="s">
        <v>820</v>
      </c>
      <c r="B1" s="234"/>
      <c r="C1" s="234"/>
      <c r="D1" s="234"/>
      <c r="E1" s="234"/>
      <c r="F1" s="234"/>
      <c r="G1" s="234"/>
      <c r="H1" s="234"/>
      <c r="I1" s="110"/>
      <c r="J1" s="110"/>
      <c r="K1" s="110"/>
    </row>
    <row r="2" spans="1:12" ht="33" x14ac:dyDescent="0.25">
      <c r="A2" s="51" t="s">
        <v>406</v>
      </c>
      <c r="B2" s="51" t="s">
        <v>407</v>
      </c>
      <c r="C2" s="51" t="s">
        <v>816</v>
      </c>
      <c r="D2" s="51" t="s">
        <v>817</v>
      </c>
      <c r="E2" s="51" t="s">
        <v>1115</v>
      </c>
      <c r="F2" s="51" t="s">
        <v>818</v>
      </c>
      <c r="G2" s="51" t="s">
        <v>819</v>
      </c>
      <c r="H2" s="49" t="s">
        <v>913</v>
      </c>
      <c r="I2" s="110"/>
      <c r="J2" s="110"/>
      <c r="K2" s="110"/>
    </row>
    <row r="3" spans="1:12" ht="15.75" x14ac:dyDescent="0.25">
      <c r="A3" s="40" t="s">
        <v>941</v>
      </c>
      <c r="B3" s="40"/>
      <c r="C3" s="33"/>
      <c r="D3" s="83"/>
      <c r="E3" s="83"/>
      <c r="F3" s="90"/>
      <c r="G3" s="42"/>
      <c r="H3" s="54" t="str">
        <f>IF(A3="","",SUMIF(GratuityPIN,A3,TaxPayable))</f>
        <v/>
      </c>
      <c r="I3" s="110" t="str">
        <f>IFERROR(LOOKUP(C3,SortedMonthList,MonthCode),"")</f>
        <v/>
      </c>
      <c r="J3" s="111" t="str">
        <f>IF(OR(A3&lt;&gt;"",B3&lt;&gt;"",C3&lt;&gt;"",D3&lt;&gt;"",E3&lt;&gt;"",F3&lt;&gt;"",G3&lt;&gt;""),ROW(A3)-2,"")</f>
        <v/>
      </c>
      <c r="K3" s="110"/>
      <c r="L3" s="91"/>
    </row>
    <row r="4" spans="1:12" ht="15.75" x14ac:dyDescent="0.25">
      <c r="A4" s="40" t="s">
        <v>941</v>
      </c>
      <c r="B4" s="40"/>
      <c r="C4" s="33"/>
      <c r="D4" s="83"/>
      <c r="E4" s="83"/>
      <c r="F4" s="90"/>
      <c r="G4" s="42"/>
      <c r="H4" s="54" t="str">
        <f>IF(A4="","",SUMIF(GratuityPIN,A4,TaxPayable))</f>
        <v/>
      </c>
      <c r="I4" s="110" t="str">
        <f>IFERROR(LOOKUP(C4,SortedMonthList,MonthCode),"")</f>
        <v/>
      </c>
      <c r="J4" s="111" t="str">
        <f>IF(OR(A4&lt;&gt;"",B4&lt;&gt;"",C4&lt;&gt;"",D4&lt;&gt;"",E4&lt;&gt;"",F4&lt;&gt;"",G4&lt;&gt;""),ROW(A4)-2,"")</f>
        <v/>
      </c>
      <c r="K4" s="110"/>
      <c r="L4" s="91"/>
    </row>
    <row r="5" spans="1:12" ht="18" customHeight="1" x14ac:dyDescent="0.3">
      <c r="A5" s="235" t="s">
        <v>884</v>
      </c>
      <c r="B5" s="235"/>
      <c r="C5" s="235"/>
      <c r="D5" s="235"/>
      <c r="E5" s="235"/>
      <c r="F5" s="235"/>
      <c r="G5" s="235"/>
      <c r="H5" s="92">
        <f ca="1">SUM(H3:OFFSET(CalPayeTaxPyblOnGratIListTO,-1,0))</f>
        <v>0</v>
      </c>
      <c r="I5" s="110"/>
      <c r="J5" s="110"/>
      <c r="K5" s="110"/>
      <c r="L5" s="91"/>
    </row>
    <row r="6" spans="1:12" s="171" customFormat="1" ht="37.5" customHeight="1" x14ac:dyDescent="0.25">
      <c r="A6" s="36"/>
      <c r="B6" s="36"/>
      <c r="C6" s="36"/>
      <c r="D6" s="36"/>
      <c r="E6" s="36"/>
      <c r="F6" s="36"/>
      <c r="G6" s="36"/>
      <c r="H6" s="36"/>
      <c r="I6" s="110"/>
      <c r="J6" s="110"/>
      <c r="K6" s="110"/>
      <c r="L6" s="170"/>
    </row>
    <row r="7" spans="1:12" s="171" customFormat="1" ht="37.5" customHeight="1" x14ac:dyDescent="0.25">
      <c r="A7" s="36"/>
      <c r="B7" s="36"/>
      <c r="C7" s="36"/>
      <c r="D7" s="36"/>
      <c r="E7" s="36"/>
      <c r="F7" s="36"/>
      <c r="G7" s="36"/>
      <c r="H7" s="36"/>
      <c r="I7" s="110"/>
      <c r="J7" s="110"/>
      <c r="K7" s="110"/>
      <c r="L7" s="170"/>
    </row>
    <row r="8" spans="1:12" s="171" customFormat="1" ht="33.75" customHeight="1" x14ac:dyDescent="0.25">
      <c r="A8" s="236" t="s">
        <v>914</v>
      </c>
      <c r="B8" s="236"/>
      <c r="C8" s="236"/>
      <c r="D8" s="236"/>
      <c r="E8" s="236"/>
      <c r="F8" s="236"/>
      <c r="G8" s="236"/>
      <c r="H8" s="236"/>
      <c r="I8" s="110"/>
      <c r="J8" s="110"/>
      <c r="K8" s="110"/>
      <c r="L8" s="170"/>
    </row>
    <row r="9" spans="1:12" s="171" customFormat="1" ht="48.75" customHeight="1" x14ac:dyDescent="0.25">
      <c r="A9" s="51" t="s">
        <v>406</v>
      </c>
      <c r="B9" s="51" t="s">
        <v>915</v>
      </c>
      <c r="C9" s="51" t="s">
        <v>916</v>
      </c>
      <c r="D9" s="51" t="s">
        <v>1112</v>
      </c>
      <c r="E9" s="51" t="s">
        <v>917</v>
      </c>
      <c r="F9" s="51" t="s">
        <v>918</v>
      </c>
      <c r="G9" s="51" t="s">
        <v>1111</v>
      </c>
      <c r="H9" s="51" t="s">
        <v>919</v>
      </c>
      <c r="I9" s="110"/>
      <c r="J9" s="110"/>
      <c r="K9" s="172" t="s">
        <v>1103</v>
      </c>
      <c r="L9" s="170"/>
    </row>
    <row r="10" spans="1:12" s="171" customFormat="1" ht="15.75" x14ac:dyDescent="0.25">
      <c r="A10" s="54" t="str">
        <f>IF(I10="","",IFERROR(INDEX(CalPayeTaxPyblOnGratI.List,MATCH(I10,PINSrNo,0),1),0))</f>
        <v/>
      </c>
      <c r="B10" s="93"/>
      <c r="C10" s="54"/>
      <c r="D10" s="42"/>
      <c r="E10" s="54" t="str">
        <f>IF(A10="","",SUM(C10,D10))</f>
        <v/>
      </c>
      <c r="F10" s="54" t="str">
        <f>IF(A10="","",getTaxPayableFromYear(B10,E10))</f>
        <v/>
      </c>
      <c r="G10" s="42"/>
      <c r="H10" s="54" t="str">
        <f>IF(A10="","",IF(F10-G10&lt;0,0,F10-G10))</f>
        <v/>
      </c>
      <c r="I10" s="110"/>
      <c r="J10" s="110"/>
      <c r="K10" s="110" t="str">
        <f>IF(AND(A10="",OR(D10&lt;&gt;"",G10&lt;&gt;"")),IF(AND(D10&lt;&gt;"",G10&lt;&gt;""),"DG",IF(D10&lt;&gt;"","D","G")),"")</f>
        <v/>
      </c>
      <c r="L10" s="170"/>
    </row>
    <row r="11" spans="1:12" s="171" customFormat="1" ht="15.75" x14ac:dyDescent="0.25">
      <c r="A11" s="54" t="str">
        <f>IF(I11="","",IFERROR(INDEX(CalPayeTaxPyblOnGratI.List,MATCH(I11,PINSrNo,0),1),0))</f>
        <v/>
      </c>
      <c r="B11" s="93"/>
      <c r="C11" s="54"/>
      <c r="D11" s="42"/>
      <c r="E11" s="54" t="str">
        <f>IF(A11="","",SUM(C11,D11))</f>
        <v/>
      </c>
      <c r="F11" s="54" t="str">
        <f>IF(A11="","",getTaxPayableFromYear(B11,E11))</f>
        <v/>
      </c>
      <c r="G11" s="42"/>
      <c r="H11" s="54" t="str">
        <f>IF(A11="","",IF(F11-G11&lt;0,0,F11-G11))</f>
        <v/>
      </c>
      <c r="I11" s="110"/>
      <c r="J11" s="110"/>
      <c r="K11" s="110" t="str">
        <f>IF(AND(A11="",OR(D11&lt;&gt;"",G11&lt;&gt;"")),IF(AND(D11&lt;&gt;"",G11&lt;&gt;""),"DG",IF(D11&lt;&gt;"","D","G")),"")</f>
        <v/>
      </c>
      <c r="L11" s="170"/>
    </row>
    <row r="12" spans="1:12" s="176" customFormat="1" ht="30" customHeight="1" x14ac:dyDescent="0.25">
      <c r="I12" s="177"/>
      <c r="J12" s="177"/>
      <c r="K12" s="177"/>
    </row>
    <row r="13" spans="1:12" s="176" customFormat="1" ht="41.25" customHeight="1" x14ac:dyDescent="0.25">
      <c r="I13" s="177"/>
      <c r="J13" s="177"/>
      <c r="K13" s="177"/>
    </row>
  </sheetData>
  <sheetProtection selectLockedCells="1"/>
  <mergeCells count="3">
    <mergeCell ref="A1:H1"/>
    <mergeCell ref="A5:G5"/>
    <mergeCell ref="A8:H8"/>
  </mergeCells>
  <dataValidations xWindow="863" yWindow="286" count="11">
    <dataValidation type="decimal" allowBlank="1" showInputMessage="1" showErrorMessage="1" errorTitle="Data Error:" error="Please enter positive numeric value of length less than or equal to 15 digit." promptTitle="Numeric:" prompt="Enter numeric value of length less than or equal to 15 digit." sqref="G3:G4 G10:G11 D10:D11" xr:uid="{7AE22F1B-1BAE-4734-B2E3-6FDEE1F8CC9F}">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xr:uid="{DB9CCBD3-FA06-4188-AF33-D4397B1C7BF2}">
      <formula1>50</formula1>
      <formula2>0</formula2>
    </dataValidation>
    <dataValidation type="textLength" allowBlank="1" showInputMessage="1" showErrorMessage="1" errorTitle="Data Error:" error="Please enter PIN in proper format.  " promptTitle="Alphanumeric:" prompt="Enter 11 digit alphanumeric values for PIN. " sqref="A3:A4 A6" xr:uid="{6FF5B2A2-FF82-40C7-BF84-15DBBCCF9B34}">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B6" xr:uid="{C41F3AEC-C193-429F-812E-73E6553B98FA}">
      <formula1>50</formula1>
      <formula2>0</formula2>
    </dataValidation>
    <dataValidation type="list" allowBlank="1" showInputMessage="1" showErrorMessage="1" errorTitle="Data Error:" error="Please select data from DropDown Only." promptTitle="List:" prompt="Select data from DropDown List." sqref="D3:D4 E4" xr:uid="{5C2316E1-B3D7-45A2-86CD-911AE3593858}">
      <formula1>OtherYear</formula1>
      <formula2>0</formula2>
    </dataValidation>
    <dataValidation type="list" allowBlank="1" showInputMessage="1" showErrorMessage="1" errorTitle="Data Error:" error="Please select data from DropDown Only." promptTitle="List:" prompt="Select data from DropDown List." sqref="C3:C4" xr:uid="{AD963F3F-860F-48D5-B092-99C6B07E0B19}">
      <formula1>MonthList</formula1>
      <formula2>0</formula2>
    </dataValidation>
    <dataValidation type="decimal" allowBlank="1" showInputMessage="1" showErrorMessage="1" errorTitle="Data Error:" error="Please enter positive numeric value of length less than or equal to 3 digit." promptTitle="Numeric:" prompt="Enter numeric value of length less than or equal to 3 digit." sqref="F3:F4" xr:uid="{E88697E4-E2ED-4C7A-A6F8-CBE105D2B513}">
      <formula1>0</formula1>
      <formula2>999</formula2>
    </dataValidation>
    <dataValidation operator="greaterThanOrEqual" allowBlank="1" showErrorMessage="1" sqref="J3:J4" xr:uid="{6115B89F-2E0E-4AE3-95B1-722A4F9C9FD4}">
      <formula1>0</formula1>
      <formula2>0</formula2>
    </dataValidation>
    <dataValidation type="textLength" allowBlank="1" errorTitle="Data Error:" error="Please enter PIN in proper format.  " promptTitle="Alphanumeric:" prompt="Enter 11 digit alphanumeric values for PIN. " sqref="A10:A11" xr:uid="{B1CB5023-D3D1-414E-86EF-A6E8D21A9FAF}">
      <formula1>11</formula1>
      <formula2>11</formula2>
    </dataValidation>
    <dataValidation allowBlank="1" showInputMessage="1" showErrorMessage="1" errorTitle="Cell is Protected" error="Not Editable" sqref="H10:H11" xr:uid="{70A07D08-E90A-4ED1-98B1-39771CBDED09}"/>
    <dataValidation type="list" allowBlank="1" showInputMessage="1" showErrorMessage="1" errorTitle="Data Error:" error="Please select data from DropDown Only." promptTitle="List:" prompt="Select data from DropDown List." sqref="E3" xr:uid="{61A8543C-7D9C-407B-857D-AED644628305}">
      <formula1>OtherYear</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EC0F3-B5CD-42C7-8BDB-387D9A811BC0}">
  <sheetPr codeName="Sheet17"/>
  <dimension ref="A1:L7"/>
  <sheetViews>
    <sheetView topLeftCell="H1" workbookViewId="0">
      <selection activeCell="A3" sqref="A3"/>
    </sheetView>
  </sheetViews>
  <sheetFormatPr defaultColWidth="0" defaultRowHeight="15" zeroHeight="1" x14ac:dyDescent="0.25"/>
  <cols>
    <col min="1" max="11" width="27.7109375" customWidth="1"/>
    <col min="12" max="12" width="14.28515625" customWidth="1"/>
  </cols>
  <sheetData>
    <row r="1" spans="1:12" ht="33.75" customHeight="1" x14ac:dyDescent="0.25">
      <c r="A1" s="226" t="s">
        <v>801</v>
      </c>
      <c r="B1" s="226"/>
      <c r="C1" s="226"/>
      <c r="D1" s="226"/>
      <c r="E1" s="226"/>
      <c r="F1" s="226"/>
      <c r="G1" s="226"/>
      <c r="H1" s="226"/>
      <c r="I1" s="226"/>
      <c r="J1" s="226"/>
      <c r="K1" s="226"/>
      <c r="L1" s="36"/>
    </row>
    <row r="2" spans="1:12" ht="49.5" x14ac:dyDescent="0.25">
      <c r="A2" s="51" t="s">
        <v>406</v>
      </c>
      <c r="B2" s="51" t="s">
        <v>407</v>
      </c>
      <c r="C2" s="51" t="s">
        <v>464</v>
      </c>
      <c r="D2" s="51" t="s">
        <v>465</v>
      </c>
      <c r="E2" s="51" t="s">
        <v>466</v>
      </c>
      <c r="F2" s="51" t="s">
        <v>467</v>
      </c>
      <c r="G2" s="51" t="s">
        <v>920</v>
      </c>
      <c r="H2" s="51" t="s">
        <v>921</v>
      </c>
      <c r="I2" s="51" t="s">
        <v>922</v>
      </c>
      <c r="J2" s="51" t="s">
        <v>923</v>
      </c>
      <c r="K2" s="51" t="s">
        <v>1263</v>
      </c>
      <c r="L2" s="36"/>
    </row>
    <row r="3" spans="1:12" ht="15.75" x14ac:dyDescent="0.25">
      <c r="A3" s="68"/>
      <c r="B3" s="68"/>
      <c r="C3" s="94"/>
      <c r="D3" s="95"/>
      <c r="E3" s="95"/>
      <c r="F3" s="116"/>
      <c r="G3" s="54" t="str">
        <f>IF(E3&lt;&gt;"",E3*F3/100,"")</f>
        <v/>
      </c>
      <c r="H3" s="116"/>
      <c r="I3" s="54" t="str">
        <f>IF(E3&lt;&gt;"",E3*H3/100,"")</f>
        <v/>
      </c>
      <c r="J3" s="44" t="str">
        <f>IF(G3&lt;&gt;"",IF(I3&lt;&gt;"",IF(ROUND(I3,2)-ROUND(G3,2)&lt;0,0,ROUND(I3,2)-ROUND(G3,2)),""),"")</f>
        <v/>
      </c>
      <c r="K3" s="54" t="str">
        <f>IF(RtnInf.RtnPrdFrom&lt;&gt;"",IF(MID(RtnInf.RtnPrdFrom,7,4)&gt;"2019", IF(MID(RtnInf.RtnPrdFrom,7,4)="2020", IF(MID(RtnInf.RtnPrdFrom,4,2)&gt;="04",IF(J3&lt;&gt;"",J3*25/100,""),IF(J3&lt;&gt;"",J3*30/100,"")),IF(J3&lt;&gt;"",J3*30/100,"")),IF(J3&lt;&gt;"",J3*30/100,"")),"")</f>
        <v/>
      </c>
      <c r="L3" s="36"/>
    </row>
    <row r="4" spans="1:12" ht="15.75" x14ac:dyDescent="0.25">
      <c r="A4" s="72" t="s">
        <v>941</v>
      </c>
      <c r="B4" s="72"/>
      <c r="C4" s="96"/>
      <c r="D4" s="95"/>
      <c r="E4" s="97"/>
      <c r="F4" s="117"/>
      <c r="G4" s="53" t="str">
        <f>IF(E4&lt;&gt;"",E4*F4/100,"")</f>
        <v/>
      </c>
      <c r="H4" s="117"/>
      <c r="I4" s="54" t="str">
        <f>IF(E4&lt;&gt;"",E4*H4/100,"")</f>
        <v/>
      </c>
      <c r="J4" s="44" t="str">
        <f>IF(G4&lt;&gt;"",IF(I4&lt;&gt;"",IF(ROUND(I4,2)-ROUND(G4,2)&lt;0,0,ROUND(I4,2)-ROUND(G4,2)),""),"")</f>
        <v/>
      </c>
      <c r="K4" s="54" t="str">
        <f>IF(RtnInf.RtnPrdFrom&lt;&gt;"",IF(MID(RtnInf.RtnPrdFrom,7,4)&gt;"2019", IF(MID(RtnInf.RtnPrdFrom,7,4)="2020", IF(MID(RtnInf.RtnPrdFrom,4,2)&gt;="04",IF(J4&lt;&gt;"",J4*25/100,""),IF(J4&lt;&gt;"",J4*30/100,"")),IF(J4&lt;&gt;"",J4*30/100,"")),IF(J4&lt;&gt;"",J4*30/100,"")),"")</f>
        <v/>
      </c>
      <c r="L4" s="36"/>
    </row>
    <row r="5" spans="1:12" ht="18" customHeight="1" x14ac:dyDescent="0.3">
      <c r="A5" s="221" t="s">
        <v>884</v>
      </c>
      <c r="B5" s="221"/>
      <c r="C5" s="221"/>
      <c r="D5" s="221"/>
      <c r="E5" s="221"/>
      <c r="F5" s="221"/>
      <c r="G5" s="221"/>
      <c r="H5" s="221"/>
      <c r="I5" s="221"/>
      <c r="J5" s="221"/>
      <c r="K5" s="84">
        <f ca="1">SUM(K3:OFFSET(FringeBenfTaxCalcListTO,-1,0))</f>
        <v>0</v>
      </c>
      <c r="L5" s="36"/>
    </row>
    <row r="6" spans="1:12" ht="37.5" customHeight="1" x14ac:dyDescent="0.25">
      <c r="A6" s="36"/>
      <c r="B6" s="36"/>
      <c r="C6" s="36"/>
      <c r="D6" s="36"/>
      <c r="E6" s="36"/>
      <c r="F6" s="36"/>
      <c r="G6" s="36"/>
      <c r="H6" s="36"/>
      <c r="I6" s="36"/>
      <c r="J6" s="36"/>
      <c r="K6" s="36"/>
      <c r="L6" s="36"/>
    </row>
    <row r="7" spans="1:12" ht="37.5" customHeight="1" x14ac:dyDescent="0.25">
      <c r="A7" s="36"/>
      <c r="B7" s="36"/>
      <c r="C7" s="36"/>
      <c r="D7" s="36"/>
      <c r="E7" s="36"/>
      <c r="F7" s="36"/>
      <c r="G7" s="36"/>
      <c r="H7" s="36"/>
      <c r="I7" s="36"/>
      <c r="J7" s="36"/>
      <c r="K7" s="36"/>
      <c r="L7" s="36"/>
    </row>
  </sheetData>
  <sheetProtection selectLockedCells="1"/>
  <mergeCells count="2">
    <mergeCell ref="A1:K1"/>
    <mergeCell ref="A5:J5"/>
  </mergeCells>
  <dataValidations xWindow="61636" yWindow="30172" count="5">
    <dataValidation type="decimal" allowBlank="1" showInputMessage="1" showErrorMessage="1" errorTitle="Data Error:" error="Please enter positive numeric value of length less than or equal to 15 digit." promptTitle="Numeric:" prompt="Enter numeric value of length less than or equal to 15 digit." sqref="D3:E4" xr:uid="{510F2887-7447-4A72-9C45-7D66CAA1608A}">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xr:uid="{BC9C834D-3044-4B70-A8D6-B059AFE7B68C}">
      <formula1>50</formula1>
      <formula2>0</formula2>
    </dataValidation>
    <dataValidation type="textLength" allowBlank="1" showInputMessage="1" showErrorMessage="1" errorTitle="Data Error:" error="Please enter PIN in proper format.  " promptTitle="Alphanumeric:" prompt="Enter 11 digit alphanumeric values for PIN. " sqref="A3:A4" xr:uid="{9DCB683E-102C-4615-A43E-8F3C4E8EE1EA}">
      <formula1>11</formula1>
      <formula2>11</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are not allowed._x000a_" sqref="C3:C4" xr:uid="{77C3FAF9-4A0B-4F5B-8EC0-23AC94D3899C}">
      <formula1>1</formula1>
      <formula2>20</formula2>
    </dataValidation>
    <dataValidation type="decimal" allowBlank="1" showInputMessage="1" showErrorMessage="1" errorTitle="Data Error:" error="Please enter Percentage value in range of  0 to 100." promptTitle="Percentage:" prompt="Enter Percentage value in range of  0 to 100." sqref="H3:H4 F3:F4" xr:uid="{F961AA3E-0D9F-46BC-B8B8-5F5A1C94BF42}">
      <formula1>0</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C273F-D3C5-40C2-B3D8-24885BB3F2DB}">
  <sheetPr codeName="Sheet19"/>
  <dimension ref="A1:D15"/>
  <sheetViews>
    <sheetView workbookViewId="0">
      <selection activeCell="A4" sqref="A4"/>
    </sheetView>
  </sheetViews>
  <sheetFormatPr defaultColWidth="0" defaultRowHeight="15" zeroHeight="1" x14ac:dyDescent="0.25"/>
  <cols>
    <col min="1" max="3" width="27.7109375" customWidth="1"/>
    <col min="4" max="4" width="14.28515625" customWidth="1"/>
  </cols>
  <sheetData>
    <row r="1" spans="1:4" ht="33.75" customHeight="1" x14ac:dyDescent="0.25">
      <c r="A1" s="226" t="s">
        <v>493</v>
      </c>
      <c r="B1" s="226"/>
      <c r="C1" s="226"/>
      <c r="D1" s="36"/>
    </row>
    <row r="2" spans="1:4" ht="21" customHeight="1" x14ac:dyDescent="0.25">
      <c r="A2" s="238" t="s">
        <v>502</v>
      </c>
      <c r="B2" s="238"/>
      <c r="C2" s="238"/>
      <c r="D2" s="36"/>
    </row>
    <row r="3" spans="1:4" ht="33" x14ac:dyDescent="0.25">
      <c r="A3" s="51" t="s">
        <v>837</v>
      </c>
      <c r="B3" s="51" t="s">
        <v>838</v>
      </c>
      <c r="C3" s="51" t="s">
        <v>924</v>
      </c>
      <c r="D3" s="36"/>
    </row>
    <row r="4" spans="1:4" ht="16.5" customHeight="1" x14ac:dyDescent="0.25">
      <c r="A4" s="98"/>
      <c r="B4" s="35"/>
      <c r="C4" s="95"/>
      <c r="D4" s="36" t="str">
        <f>(IF(A4&lt;&gt;"","INCMADV",""))</f>
        <v/>
      </c>
    </row>
    <row r="5" spans="1:4" ht="16.5" customHeight="1" x14ac:dyDescent="0.25">
      <c r="A5" s="98"/>
      <c r="B5" s="35"/>
      <c r="C5" s="95"/>
      <c r="D5" s="36" t="str">
        <f>(IF(A5&lt;&gt;"","INCMADV",""))</f>
        <v/>
      </c>
    </row>
    <row r="6" spans="1:4" ht="16.5" customHeight="1" x14ac:dyDescent="0.3">
      <c r="A6" s="237" t="s">
        <v>884</v>
      </c>
      <c r="B6" s="237"/>
      <c r="C6" s="84">
        <f ca="1">ROUND(SUM(C4:OFFSET(DtlsPayeTaxPaidAdvListTO,-1,0)),2)</f>
        <v>0</v>
      </c>
      <c r="D6" s="36"/>
    </row>
    <row r="7" spans="1:4" ht="37.5" customHeight="1" x14ac:dyDescent="0.25">
      <c r="A7" s="36"/>
      <c r="B7" s="36"/>
      <c r="C7" s="36"/>
      <c r="D7" s="36"/>
    </row>
    <row r="8" spans="1:4" ht="21" customHeight="1" x14ac:dyDescent="0.25">
      <c r="A8" s="238" t="s">
        <v>499</v>
      </c>
      <c r="B8" s="238"/>
      <c r="C8" s="238"/>
      <c r="D8" s="36"/>
    </row>
    <row r="9" spans="1:4" ht="33" customHeight="1" x14ac:dyDescent="0.25">
      <c r="A9" s="51" t="s">
        <v>837</v>
      </c>
      <c r="B9" s="51" t="s">
        <v>838</v>
      </c>
      <c r="C9" s="51" t="s">
        <v>924</v>
      </c>
      <c r="D9" s="36"/>
    </row>
    <row r="10" spans="1:4" ht="16.5" customHeight="1" x14ac:dyDescent="0.25">
      <c r="A10" s="98" t="s">
        <v>941</v>
      </c>
      <c r="B10" s="35"/>
      <c r="C10" s="95"/>
      <c r="D10" s="36" t="str">
        <f>(IF(A10&lt;&gt;"","SFASPMT",""))</f>
        <v/>
      </c>
    </row>
    <row r="11" spans="1:4" ht="16.5" customHeight="1" x14ac:dyDescent="0.25">
      <c r="A11" s="98"/>
      <c r="B11" s="35"/>
      <c r="C11" s="95"/>
      <c r="D11" s="36" t="str">
        <f>(IF(A11&lt;&gt;"","SFASPMT",""))</f>
        <v/>
      </c>
    </row>
    <row r="12" spans="1:4" ht="16.5" customHeight="1" x14ac:dyDescent="0.3">
      <c r="A12" s="237" t="s">
        <v>884</v>
      </c>
      <c r="B12" s="237"/>
      <c r="C12" s="84">
        <f ca="1">ROUND(SUM(C10:OFFSET(DtlsPayeSelfAssTaxListTO,-1,0)),2)</f>
        <v>0</v>
      </c>
      <c r="D12" s="36"/>
    </row>
    <row r="13" spans="1:4" ht="16.5" customHeight="1" x14ac:dyDescent="0.3">
      <c r="A13" s="237" t="s">
        <v>925</v>
      </c>
      <c r="B13" s="237"/>
      <c r="C13" s="84">
        <f ca="1">ROUND(SUM(DtlsPayeTaxPaidAdvListTO,DtlsPayeSelfAssTaxListTO),2)</f>
        <v>0</v>
      </c>
      <c r="D13" s="36"/>
    </row>
    <row r="14" spans="1:4" ht="37.5" customHeight="1" x14ac:dyDescent="0.25">
      <c r="A14" s="36"/>
      <c r="B14" s="36"/>
      <c r="C14" s="36"/>
      <c r="D14" s="36"/>
    </row>
    <row r="15" spans="1:4" ht="37.5" customHeight="1" x14ac:dyDescent="0.25">
      <c r="A15" s="36"/>
      <c r="B15" s="36"/>
      <c r="C15" s="36"/>
      <c r="D15" s="36"/>
    </row>
  </sheetData>
  <sheetProtection selectLockedCells="1"/>
  <mergeCells count="6">
    <mergeCell ref="A13:B13"/>
    <mergeCell ref="A1:C1"/>
    <mergeCell ref="A2:C2"/>
    <mergeCell ref="A6:B6"/>
    <mergeCell ref="A8:C8"/>
    <mergeCell ref="A12:B12"/>
  </mergeCells>
  <dataValidations xWindow="5973" yWindow="145" count="5">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A6 A12" xr:uid="{721183C2-DB67-47D4-8106-FC79A8069538}">
      <formula1>20</formula1>
      <formula2>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C10:C11 C4:C5" xr:uid="{2ED0B966-8DE5-4159-AF0D-D49074159E43}">
      <formula1>1</formula1>
      <formula2>999999999999999</formula2>
    </dataValidation>
    <dataValidation type="textLength" allowBlank="1" showInputMessage="1" showErrorMessage="1" errorTitle="Data Error:" error="Please enter date value in dd/mm/yyyy format." promptTitle="Date:" prompt="Enter date value in dd/mm/yyyy format." sqref="B10:B12 B4:B6" xr:uid="{68C11DEB-7DC5-4DB6-8761-8AEDF9AF879D}">
      <formula1>0</formula1>
      <formula2>10</formula2>
    </dataValidation>
    <dataValidation type="textLength" operator="lessThanOrEqual" allowBlank="1" showInputMessage="1" showErrorMessage="1" errorTitle="Data Error:" error="Please enter Numeric value of length less than or equal to 20  characters." promptTitle="Numeric:" prompt="Enter Numeric value of length less than or equal to 20  characters.Special characters like - is allowed." sqref="A10:A11 A4:A5" xr:uid="{3BE00F65-A040-41AD-A809-B3EF81161B8F}">
      <formula1>20</formula1>
      <formula2>0</formula2>
    </dataValidation>
    <dataValidation allowBlank="1" sqref="A13:B13" xr:uid="{70D1EC12-13EE-432A-B52A-B5C839C2B4E1}">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EE435-0600-4ACC-88D8-795F864A2637}">
  <sheetPr codeName="Sheet21"/>
  <dimension ref="A1:M7"/>
  <sheetViews>
    <sheetView workbookViewId="0">
      <selection activeCell="A3" sqref="A3"/>
    </sheetView>
  </sheetViews>
  <sheetFormatPr defaultColWidth="0" defaultRowHeight="15" customHeight="1" zeroHeight="1" x14ac:dyDescent="0.25"/>
  <cols>
    <col min="1" max="11" width="27.7109375" customWidth="1"/>
    <col min="12" max="12" width="14.28515625" customWidth="1"/>
    <col min="13" max="13" width="10.7109375" style="36" customWidth="1"/>
  </cols>
  <sheetData>
    <row r="1" spans="1:13" ht="33.75" customHeight="1" x14ac:dyDescent="0.25">
      <c r="A1" s="239" t="s">
        <v>1257</v>
      </c>
      <c r="B1" s="240"/>
      <c r="C1" s="240"/>
      <c r="D1" s="240"/>
      <c r="E1" s="240"/>
      <c r="F1" s="240"/>
      <c r="G1" s="240"/>
      <c r="H1" s="241"/>
      <c r="I1" s="36"/>
      <c r="J1" s="36"/>
      <c r="K1" s="36"/>
      <c r="L1" s="36"/>
    </row>
    <row r="2" spans="1:13" ht="33" x14ac:dyDescent="0.25">
      <c r="A2" s="185" t="s">
        <v>1154</v>
      </c>
      <c r="B2" s="185" t="s">
        <v>1155</v>
      </c>
      <c r="C2" s="185" t="s">
        <v>1156</v>
      </c>
      <c r="D2" s="185" t="s">
        <v>1157</v>
      </c>
      <c r="E2" s="185" t="s">
        <v>444</v>
      </c>
      <c r="F2" s="185" t="s">
        <v>1158</v>
      </c>
      <c r="G2" s="185" t="s">
        <v>1159</v>
      </c>
      <c r="H2" s="185" t="s">
        <v>1160</v>
      </c>
      <c r="I2" s="36"/>
      <c r="J2" s="36"/>
      <c r="K2" s="36"/>
      <c r="L2" s="36"/>
    </row>
    <row r="3" spans="1:13" ht="16.5" x14ac:dyDescent="0.3">
      <c r="A3" s="204"/>
      <c r="B3" s="205"/>
      <c r="C3" s="205" t="s">
        <v>941</v>
      </c>
      <c r="D3" s="42"/>
      <c r="E3" s="186"/>
      <c r="F3" s="186" t="str">
        <f>IF(D3&lt;&gt;"",(D3*1.5%),"")</f>
        <v/>
      </c>
      <c r="G3" s="186" t="str">
        <f>F3</f>
        <v/>
      </c>
      <c r="H3" s="186" t="str">
        <f>IF(AND(F3&lt;&gt;"",G3&lt;&gt;""),SUM(F3,G3),"")</f>
        <v/>
      </c>
      <c r="I3" s="36"/>
      <c r="J3" s="36"/>
      <c r="K3" s="36"/>
      <c r="L3" s="36"/>
      <c r="M3" s="36">
        <f>IF(A3&lt;&gt;"",1,0)</f>
        <v>0</v>
      </c>
    </row>
    <row r="4" spans="1:13" ht="16.5" x14ac:dyDescent="0.3">
      <c r="A4" s="204"/>
      <c r="B4" s="205"/>
      <c r="C4" s="205" t="s">
        <v>941</v>
      </c>
      <c r="D4" s="42"/>
      <c r="E4" s="186"/>
      <c r="F4" s="186" t="str">
        <f>IF(D4&lt;&gt;"",(D4*1.5%),"")</f>
        <v/>
      </c>
      <c r="G4" s="186" t="str">
        <f>F4</f>
        <v/>
      </c>
      <c r="H4" s="186" t="str">
        <f>IF(AND(F4&lt;&gt;"",G4&lt;&gt;""),SUM(F4,G4),"")</f>
        <v/>
      </c>
      <c r="I4" s="36"/>
      <c r="J4" s="36"/>
      <c r="K4" s="36"/>
      <c r="L4" s="36"/>
      <c r="M4" s="36">
        <f>IF(A4&lt;&gt;"",1,0)</f>
        <v>0</v>
      </c>
    </row>
    <row r="5" spans="1:13" ht="18" customHeight="1" x14ac:dyDescent="0.3">
      <c r="A5" s="242" t="s">
        <v>1161</v>
      </c>
      <c r="B5" s="243"/>
      <c r="C5" s="243"/>
      <c r="D5" s="243"/>
      <c r="E5" s="243"/>
      <c r="F5" s="243"/>
      <c r="G5" s="244"/>
      <c r="H5" s="186">
        <f ca="1">ROUNDUP(SUM(H3:OFFSET(HousinglevyTo,-1,0)),0)</f>
        <v>0</v>
      </c>
      <c r="I5" s="36"/>
      <c r="J5" s="36"/>
      <c r="K5" s="36"/>
      <c r="L5" s="36"/>
      <c r="M5" s="36">
        <f ca="1">SUM(M3:OFFSET(HousinglevyTo,-1,6))</f>
        <v>0</v>
      </c>
    </row>
    <row r="6" spans="1:13" ht="37.5" customHeight="1" x14ac:dyDescent="0.25">
      <c r="A6" s="36"/>
      <c r="B6" s="36"/>
      <c r="C6" s="36"/>
      <c r="D6" s="36"/>
      <c r="E6" s="36"/>
      <c r="F6" s="36"/>
      <c r="G6" s="36"/>
      <c r="H6" s="36"/>
      <c r="I6" s="36"/>
      <c r="J6" s="36"/>
      <c r="K6" s="36"/>
      <c r="L6" s="36"/>
    </row>
    <row r="7" spans="1:13" ht="37.5" customHeight="1" x14ac:dyDescent="0.25">
      <c r="A7" s="36"/>
      <c r="B7" s="36"/>
      <c r="C7" s="36"/>
      <c r="D7" s="36"/>
      <c r="E7" s="36"/>
      <c r="F7" s="36"/>
      <c r="G7" s="36"/>
      <c r="H7" s="36"/>
      <c r="I7" s="36"/>
      <c r="J7" s="36"/>
      <c r="K7" s="36"/>
      <c r="L7" s="36"/>
    </row>
  </sheetData>
  <sheetProtection selectLockedCells="1"/>
  <mergeCells count="2">
    <mergeCell ref="A1:H1"/>
    <mergeCell ref="A5:G5"/>
  </mergeCells>
  <dataValidations count="7">
    <dataValidation type="decimal" allowBlank="1" showInputMessage="1" showErrorMessage="1" errorTitle="Data Error:" error="Enternumeric value of length upto 15 digit only." promptTitle="Numeric:" prompt="Enter numeric value of length less than or equal to 15 digit." sqref="E4" xr:uid="{6D28AFD0-B2D5-41F8-865C-6526E64C5B2E}">
      <formula1>0</formula1>
      <formula2>999999999999999</formula2>
    </dataValidation>
    <dataValidation type="textLength" allowBlank="1" showInputMessage="1" showErrorMessage="1" errorTitle="Data Error:" error="Please enter PIN in proper format." promptTitle="Alphanumeric:" prompt="Enter 11 digit alphanumeric value for PIN. " sqref="C3:C4" xr:uid="{42697D45-8026-4BDF-A000-E40F4EBEB11B}">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 Special characters like Space , - . / : are allowed." sqref="B3:B4" xr:uid="{8E295EE8-65B8-416A-AAAF-933A0D4D7B25}">
      <formula1>50</formula1>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A3:A4" xr:uid="{69AAA1C1-5DA9-41EF-BDE3-635FDCB792B4}">
      <formula1>0</formula1>
      <formula2>999999999999999</formula2>
    </dataValidation>
    <dataValidation operator="lessThanOrEqual" allowBlank="1" sqref="A5" xr:uid="{F2680147-DBC9-40C7-A9ED-F4A77E2203FC}"/>
    <dataValidation type="decimal" allowBlank="1" showInputMessage="1" showErrorMessage="1" errorTitle="Data Error:" error="Enter numeric value of length less than or equal to 15 digit." promptTitle="Numeric" prompt="Enter numeric value of length less than or equal to 15 digit." sqref="D3:D4" xr:uid="{6D0EA4B3-9DEB-440A-AF45-6BA04C131BDC}">
      <formula1>0</formula1>
      <formula2>999999999999999</formula2>
    </dataValidation>
    <dataValidation type="decimal" allowBlank="1" showInputMessage="1" showErrorMessage="1" errorTitle="Data Error:" error="Enter numeric value of length upto 15 digit only" promptTitle="Numeric:" prompt="Enter numeric value of length less than or equal to 15 digit." sqref="E3" xr:uid="{893C5D86-FB72-4463-8C2A-2A05ECD3D668}">
      <formula1>0</formula1>
      <formula2>999999999999999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7F30B-ACE7-4099-9F87-C1E6B645AAA0}">
  <sheetPr codeName="Sheet22"/>
  <dimension ref="A1:I13"/>
  <sheetViews>
    <sheetView topLeftCell="B1" workbookViewId="0">
      <selection activeCell="B3" sqref="B3"/>
    </sheetView>
  </sheetViews>
  <sheetFormatPr defaultColWidth="0" defaultRowHeight="15" customHeight="1" zeroHeight="1" x14ac:dyDescent="0.25"/>
  <cols>
    <col min="1" max="1" width="27.7109375" customWidth="1"/>
    <col min="2" max="2" width="35.7109375" customWidth="1"/>
    <col min="3" max="4" width="27.7109375" customWidth="1"/>
    <col min="5" max="8" width="3.5703125" customWidth="1"/>
    <col min="9" max="9" width="5" style="36" customWidth="1"/>
  </cols>
  <sheetData>
    <row r="1" spans="1:9" ht="33.75" customHeight="1" x14ac:dyDescent="0.25">
      <c r="A1" s="236" t="s">
        <v>1212</v>
      </c>
      <c r="B1" s="245"/>
      <c r="C1" s="245"/>
      <c r="D1" s="246"/>
      <c r="E1" s="36"/>
      <c r="F1" s="36"/>
      <c r="G1" s="36"/>
      <c r="H1" s="36"/>
    </row>
    <row r="2" spans="1:9" ht="33" x14ac:dyDescent="0.25">
      <c r="A2" s="51" t="s">
        <v>1241</v>
      </c>
      <c r="B2" s="51" t="s">
        <v>1242</v>
      </c>
      <c r="C2" s="51" t="s">
        <v>1156</v>
      </c>
      <c r="D2" s="51" t="s">
        <v>1213</v>
      </c>
      <c r="E2" s="36"/>
      <c r="F2" s="36"/>
      <c r="G2" s="36"/>
      <c r="H2" s="36"/>
    </row>
    <row r="3" spans="1:9" s="27" customFormat="1" ht="15.75" x14ac:dyDescent="0.25">
      <c r="A3" s="40" t="s">
        <v>941</v>
      </c>
      <c r="B3" s="68"/>
      <c r="C3" s="68" t="s">
        <v>941</v>
      </c>
      <c r="D3" s="201"/>
      <c r="E3" s="110">
        <f>IF(A3&lt;&gt;"",1,0)</f>
        <v>0</v>
      </c>
      <c r="F3" s="36"/>
      <c r="G3" s="36"/>
      <c r="H3" s="36"/>
      <c r="I3" s="36"/>
    </row>
    <row r="4" spans="1:9" s="27" customFormat="1" ht="15.75" x14ac:dyDescent="0.25">
      <c r="A4" s="40" t="s">
        <v>941</v>
      </c>
      <c r="B4" s="72"/>
      <c r="C4" s="68" t="s">
        <v>941</v>
      </c>
      <c r="D4" s="201"/>
      <c r="E4" s="110">
        <f>IF(A4&lt;&gt;"",1,0)</f>
        <v>0</v>
      </c>
      <c r="F4" s="36"/>
      <c r="G4" s="36"/>
      <c r="H4" s="36"/>
      <c r="I4" s="36"/>
    </row>
    <row r="5" spans="1:9" ht="18" customHeight="1" x14ac:dyDescent="0.3">
      <c r="A5" s="227" t="s">
        <v>884</v>
      </c>
      <c r="B5" s="227"/>
      <c r="C5" s="227"/>
      <c r="D5" s="43">
        <f ca="1">SUM(D3:OFFSET(NITAlevyTo,-1,0))</f>
        <v>0</v>
      </c>
      <c r="E5" s="110">
        <f ca="1">SUM(E3:OFFSET(NITAlevyTo,-1,6))</f>
        <v>0</v>
      </c>
      <c r="F5" s="36"/>
      <c r="G5" s="36"/>
      <c r="H5" s="36"/>
    </row>
    <row r="6" spans="1:9" ht="38.25" customHeight="1" x14ac:dyDescent="0.25">
      <c r="A6" s="36">
        <v>1</v>
      </c>
      <c r="B6" s="200"/>
      <c r="C6" s="36"/>
      <c r="D6" s="36"/>
      <c r="E6" s="36"/>
      <c r="F6" s="36"/>
      <c r="G6" s="36"/>
      <c r="H6" s="36"/>
    </row>
    <row r="7" spans="1:9" ht="37.5" customHeight="1" x14ac:dyDescent="0.25">
      <c r="A7" s="36"/>
      <c r="B7" s="36"/>
      <c r="C7" s="36"/>
      <c r="D7" s="36"/>
      <c r="E7" s="36"/>
      <c r="F7" s="36"/>
      <c r="G7" s="36"/>
      <c r="H7" s="36"/>
    </row>
    <row r="8" spans="1:9" hidden="1" x14ac:dyDescent="0.25"/>
    <row r="9" spans="1:9" hidden="1" x14ac:dyDescent="0.25"/>
    <row r="10" spans="1:9" hidden="1" x14ac:dyDescent="0.25"/>
    <row r="11" spans="1:9" hidden="1" x14ac:dyDescent="0.25"/>
    <row r="12" spans="1:9" hidden="1" x14ac:dyDescent="0.25"/>
    <row r="13" spans="1:9" hidden="1" x14ac:dyDescent="0.25"/>
  </sheetData>
  <sheetProtection selectLockedCells="1"/>
  <mergeCells count="2">
    <mergeCell ref="A5:C5"/>
    <mergeCell ref="A1:D1"/>
  </mergeCells>
  <dataValidations count="5">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B3:B4" xr:uid="{144164C7-A312-45DF-8F3A-E8E93BF0B308}">
      <formula1>50</formula1>
      <formula2>0</formula2>
    </dataValidation>
    <dataValidation type="decimal" allowBlank="1" errorTitle="Data Error:" error="Please enter positive numeric value of length less than or equal to 15 digit." promptTitle="Numeric:" prompt="Enter numeric value of length less than or equal to 15 digit." sqref="D3:D4" xr:uid="{BAF13179-7280-4C85-8F0E-62C6E9FCFCFF}">
      <formula1>1</formula1>
      <formula2>999999999999999</formula2>
    </dataValidation>
    <dataValidation allowBlank="1" showInputMessage="1" showErrorMessage="1" errorTitle="Data Error:" error="Enter NITA Member Number." promptTitle="Alphanumeric:" prompt="Enter NITA Member Number." sqref="A4" xr:uid="{7B1096E3-119F-436A-BFB9-8AA797657E9E}"/>
    <dataValidation type="textLength" allowBlank="1" showInputMessage="1" showErrorMessage="1" errorTitle="Data Error:" error="Please enter PIN in proper format." promptTitle="Alphanumeric:" prompt="Enter 11 digit alphanumeric values for PIN. " sqref="C3:C4" xr:uid="{E226A99D-A18E-43EC-A905-C4CF377A0569}">
      <formula1>11</formula1>
      <formula2>11</formula2>
    </dataValidation>
    <dataValidation allowBlank="1" showInputMessage="1" showErrorMessage="1" errorTitle="Data Error:" error="Enter NITA Member Number. Enter alphanumeric value.Special characters are not allowed." promptTitle="Alphanumeric:" prompt="Enter NITA Member Number. Enter alphanumeric value.Special characters are not allowed." sqref="A3" xr:uid="{EADC9B9A-92AA-4643-9348-DE1111EDAC8C}"/>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AE4C2-82EF-4E39-9117-36C43F05C616}">
  <sheetPr codeName="Sheet8"/>
  <dimension ref="A1:D23"/>
  <sheetViews>
    <sheetView workbookViewId="0">
      <selection activeCell="C20" sqref="C20"/>
    </sheetView>
  </sheetViews>
  <sheetFormatPr defaultColWidth="0" defaultRowHeight="15" zeroHeight="1" x14ac:dyDescent="0.25"/>
  <cols>
    <col min="1" max="1" width="8.5703125" customWidth="1"/>
    <col min="2" max="2" width="81.28515625" customWidth="1"/>
    <col min="3" max="3" width="27.7109375" customWidth="1"/>
    <col min="4" max="4" width="14.28515625" customWidth="1"/>
  </cols>
  <sheetData>
    <row r="1" spans="1:4" ht="31.5" customHeight="1" x14ac:dyDescent="0.25">
      <c r="A1" s="234" t="s">
        <v>491</v>
      </c>
      <c r="B1" s="234"/>
      <c r="C1" s="234"/>
      <c r="D1" s="36"/>
    </row>
    <row r="2" spans="1:4" ht="21" customHeight="1" x14ac:dyDescent="0.25">
      <c r="A2" s="99" t="s">
        <v>20</v>
      </c>
      <c r="B2" s="100" t="s">
        <v>926</v>
      </c>
      <c r="C2" s="101" t="s">
        <v>927</v>
      </c>
      <c r="D2" s="36"/>
    </row>
    <row r="3" spans="1:4" ht="31.5" x14ac:dyDescent="0.25">
      <c r="A3" s="102">
        <v>1</v>
      </c>
      <c r="B3" s="103" t="s">
        <v>928</v>
      </c>
      <c r="C3" s="104">
        <f>ROUND(ROWS(SalDedDsbEmpPIN)-COUNTBLANK(SalDedDsbEmpPIN)+ROWS(SalDedEmpPIN)-COUNTBLANK(SalDedEmpPIN),2)</f>
        <v>0</v>
      </c>
      <c r="D3" s="36"/>
    </row>
    <row r="4" spans="1:4" ht="31.5" x14ac:dyDescent="0.25">
      <c r="A4" s="102">
        <v>2</v>
      </c>
      <c r="B4" s="103" t="s">
        <v>929</v>
      </c>
      <c r="C4" s="105">
        <f ca="1">ROUND(DtlsSalPdBftsSelfPayTaxListTO,2)</f>
        <v>0</v>
      </c>
      <c r="D4" s="36"/>
    </row>
    <row r="5" spans="1:4" ht="31.5" x14ac:dyDescent="0.25">
      <c r="A5" s="102">
        <v>3</v>
      </c>
      <c r="B5" s="103" t="s">
        <v>930</v>
      </c>
      <c r="C5" s="105">
        <f ca="1">ROUND(DtlsSalPdBftsSelfPayTaxDEListTO,2)</f>
        <v>0</v>
      </c>
      <c r="D5" s="36"/>
    </row>
    <row r="6" spans="1:4" ht="31.5" x14ac:dyDescent="0.25">
      <c r="A6" s="102">
        <v>4</v>
      </c>
      <c r="B6" s="103" t="s">
        <v>931</v>
      </c>
      <c r="C6" s="105">
        <f ca="1">ROUND(TaxPdOnLumpSumPdAftrTrmtnListTO,2)</f>
        <v>0</v>
      </c>
      <c r="D6" s="36"/>
    </row>
    <row r="7" spans="1:4" ht="31.5" x14ac:dyDescent="0.25">
      <c r="A7" s="102">
        <v>5</v>
      </c>
      <c r="B7" s="103" t="s">
        <v>932</v>
      </c>
      <c r="C7" s="105">
        <f ca="1">ROUND(DtlsSalPdArrearDEListTO,2)</f>
        <v>0</v>
      </c>
      <c r="D7" s="36"/>
    </row>
    <row r="8" spans="1:4" ht="31.5" x14ac:dyDescent="0.25">
      <c r="A8" s="102">
        <v>6</v>
      </c>
      <c r="B8" s="103" t="s">
        <v>933</v>
      </c>
      <c r="C8" s="44">
        <f ca="1">ROUND(DtlsArrSalPdBftsPayeSelfPayeListTO,2)</f>
        <v>0</v>
      </c>
      <c r="D8" s="36"/>
    </row>
    <row r="9" spans="1:4" ht="31.5" x14ac:dyDescent="0.25">
      <c r="A9" s="102">
        <v>7</v>
      </c>
      <c r="B9" s="103" t="s">
        <v>934</v>
      </c>
      <c r="C9" s="44">
        <f ca="1">ROUND(CalPayeTaxPyblOnGratIListTO,2)</f>
        <v>0</v>
      </c>
      <c r="D9" s="36"/>
    </row>
    <row r="10" spans="1:4" ht="31.5" x14ac:dyDescent="0.25">
      <c r="A10" s="102">
        <v>8</v>
      </c>
      <c r="B10" s="103" t="s">
        <v>935</v>
      </c>
      <c r="C10" s="44">
        <f ca="1">ROUND(FringeBenfTaxCalcListTO,2)</f>
        <v>0</v>
      </c>
      <c r="D10" s="36"/>
    </row>
    <row r="11" spans="1:4" ht="16.5" x14ac:dyDescent="0.3">
      <c r="A11" s="106">
        <v>9</v>
      </c>
      <c r="B11" s="107" t="s">
        <v>936</v>
      </c>
      <c r="C11" s="92">
        <f ca="1">ROUND(SUM(ClcTaxDue.EmpTO,ClcTaxDue.DsblEmpTO,ClcTaxDue.LumpSumTO,ClcTaxDue.ArrEmpTO,ClcTaxDue.ArrDsblEmpTO,ClcTaxDue.GratListTO,ClcTaxDue.FringeBenfTO),2)</f>
        <v>0</v>
      </c>
      <c r="D11" s="36"/>
    </row>
    <row r="12" spans="1:4" ht="16.5" customHeight="1" x14ac:dyDescent="0.3">
      <c r="A12" s="102">
        <v>10</v>
      </c>
      <c r="B12" s="103" t="s">
        <v>937</v>
      </c>
      <c r="C12" s="208">
        <v>0</v>
      </c>
      <c r="D12" s="36"/>
    </row>
    <row r="13" spans="1:4" ht="16.5" customHeight="1" x14ac:dyDescent="0.25">
      <c r="A13" s="102">
        <v>11</v>
      </c>
      <c r="B13" s="103" t="s">
        <v>1206</v>
      </c>
      <c r="C13" s="199">
        <v>0</v>
      </c>
      <c r="D13" s="36"/>
    </row>
    <row r="14" spans="1:4" ht="16.5" x14ac:dyDescent="0.3">
      <c r="A14" s="106">
        <v>12</v>
      </c>
      <c r="B14" s="107" t="s">
        <v>1207</v>
      </c>
      <c r="C14" s="92">
        <f ca="1">ROUND(SUM(ClcTaxDue.TotPayeTaxPybl,ClcTaxDue.PrevMonPaye,ClcTaxDue.TaxDedEmpWithoutPin),2)</f>
        <v>0</v>
      </c>
      <c r="D14" s="36"/>
    </row>
    <row r="15" spans="1:4" ht="31.5" x14ac:dyDescent="0.25">
      <c r="A15" s="102">
        <v>13</v>
      </c>
      <c r="B15" s="103" t="s">
        <v>938</v>
      </c>
      <c r="C15" s="44">
        <f ca="1">IF(ClcTaxDue.TotTaxPybl&gt;0,ROUND(DtlsPayeFinalTaxPdTO,2),0)</f>
        <v>0</v>
      </c>
      <c r="D15" s="36"/>
    </row>
    <row r="16" spans="1:4" ht="16.5" x14ac:dyDescent="0.3">
      <c r="A16" s="106">
        <v>14</v>
      </c>
      <c r="B16" s="107" t="s">
        <v>1208</v>
      </c>
      <c r="C16" s="92">
        <f ca="1">ROUND(ClcTaxDue.TotTaxPybl,2)-ROUND(ClcTaxDue.TaxAdvPdTO,2)</f>
        <v>0</v>
      </c>
      <c r="D16" s="36"/>
    </row>
    <row r="17" spans="1:4" ht="31.5" x14ac:dyDescent="0.25">
      <c r="A17" s="102">
        <v>15</v>
      </c>
      <c r="B17" s="193" t="s">
        <v>1200</v>
      </c>
      <c r="C17" s="194">
        <f ca="1">IF(C18&gt;0,TotHousingMembers,0)</f>
        <v>0</v>
      </c>
      <c r="D17" s="36"/>
    </row>
    <row r="18" spans="1:4" ht="32.25" x14ac:dyDescent="0.3">
      <c r="A18" s="102">
        <v>16</v>
      </c>
      <c r="B18" s="193" t="s">
        <v>1201</v>
      </c>
      <c r="C18" s="92">
        <f ca="1">ROUNDUP(HousinglevyTo,0)</f>
        <v>0</v>
      </c>
      <c r="D18" s="36"/>
    </row>
    <row r="19" spans="1:4" ht="31.5" x14ac:dyDescent="0.25">
      <c r="A19" s="102">
        <v>17</v>
      </c>
      <c r="B19" s="193" t="s">
        <v>1231</v>
      </c>
      <c r="C19" s="207">
        <v>0</v>
      </c>
      <c r="D19" s="36"/>
    </row>
    <row r="20" spans="1:4" ht="32.25" x14ac:dyDescent="0.3">
      <c r="A20" s="102">
        <v>18</v>
      </c>
      <c r="B20" s="193" t="s">
        <v>1232</v>
      </c>
      <c r="C20" s="206">
        <v>0</v>
      </c>
      <c r="D20" s="36"/>
    </row>
    <row r="21" spans="1:4" ht="16.5" x14ac:dyDescent="0.3">
      <c r="A21" s="106">
        <v>19</v>
      </c>
      <c r="B21" s="192" t="s">
        <v>1233</v>
      </c>
      <c r="C21" s="92">
        <f ca="1">ROUND(SUM(ClcTaxDue.NetPayeTaxPybl,ClcTaxDue.totalHousingContribution,ClcTaxDue.totalNITAContribution),2)</f>
        <v>0</v>
      </c>
      <c r="D21" s="36"/>
    </row>
    <row r="22" spans="1:4" ht="37.5" customHeight="1" x14ac:dyDescent="0.25">
      <c r="A22" s="36"/>
      <c r="B22" s="36"/>
      <c r="C22" s="36"/>
      <c r="D22" s="36"/>
    </row>
    <row r="23" spans="1:4" ht="37.5" customHeight="1" x14ac:dyDescent="0.25">
      <c r="A23" s="36"/>
      <c r="B23" s="36" t="s">
        <v>939</v>
      </c>
      <c r="C23" s="36"/>
      <c r="D23" s="36"/>
    </row>
  </sheetData>
  <sheetProtection selectLockedCells="1"/>
  <protectedRanges>
    <protectedRange sqref="C13" name="Range1"/>
  </protectedRanges>
  <mergeCells count="1">
    <mergeCell ref="A1:C1"/>
  </mergeCells>
  <dataValidations xWindow="1253" yWindow="511" count="2">
    <dataValidation type="decimal" allowBlank="1" showInputMessage="1" showErrorMessage="1" errorTitle="Data Error:" error="Please enter positive numeric value less than or equal to 100" promptTitle="Numeric:" prompt="Enter positive numeric value less than or equal to 100" sqref="C12" xr:uid="{1F4B39F2-8204-4F35-8838-973A8B80BAC0}">
      <formula1>0</formula1>
      <formula2>100</formula2>
    </dataValidation>
    <dataValidation type="decimal" allowBlank="1" showInputMessage="1" showErrorMessage="1" errorTitle="Data Error:" error="Please enter positive numeric." promptTitle="Numeric:" prompt="Enter positive numeric value." sqref="C13" xr:uid="{EC4A53CE-4558-41F0-967D-A1AF22F2F684}">
      <formula1>0</formula1>
      <formula2>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34142-DBA7-4069-A019-5D620F9FA910}">
  <sheetPr codeName="Sheet11"/>
  <dimension ref="A4:A11"/>
  <sheetViews>
    <sheetView workbookViewId="0">
      <selection activeCell="A2" sqref="A2"/>
    </sheetView>
  </sheetViews>
  <sheetFormatPr defaultRowHeight="15" x14ac:dyDescent="0.25"/>
  <sheetData>
    <row r="4" spans="1:1" x14ac:dyDescent="0.25">
      <c r="A4" s="108" t="s">
        <v>1262</v>
      </c>
    </row>
    <row r="5" spans="1:1" x14ac:dyDescent="0.25">
      <c r="A5" t="s">
        <v>940</v>
      </c>
    </row>
    <row r="10" spans="1:1" x14ac:dyDescent="0.25">
      <c r="A10" t="s">
        <v>1262</v>
      </c>
    </row>
    <row r="11" spans="1:1" x14ac:dyDescent="0.25">
      <c r="A11" t="s">
        <v>940</v>
      </c>
    </row>
  </sheetData>
  <sheetProtection selectLockedCells="1"/>
  <pageMargins left="0.7" right="0.7" top="0.75" bottom="0.75" header="0.51180555555555551" footer="0.51180555555555551"/>
  <pageSetup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182</vt:i4>
      </vt:variant>
    </vt:vector>
  </HeadingPairs>
  <TitlesOfParts>
    <vt:vector size="203" baseType="lpstr">
      <vt:lpstr>Read Me</vt:lpstr>
      <vt:lpstr>Errors</vt:lpstr>
      <vt:lpstr>ImportCsv</vt:lpstr>
      <vt:lpstr>Validations</vt:lpstr>
      <vt:lpstr>ValidationList</vt:lpstr>
      <vt:lpstr>Macros_Disabled</vt:lpstr>
      <vt:lpstr>A_Basic_Info</vt:lpstr>
      <vt:lpstr>B_Employees_Dtls</vt:lpstr>
      <vt:lpstr>C_Disabled_Employees_Dtls</vt:lpstr>
      <vt:lpstr>D_Computation_of_Car_Benefit</vt:lpstr>
      <vt:lpstr>Data</vt:lpstr>
      <vt:lpstr>E_Computation_of_Insu_Relief</vt:lpstr>
      <vt:lpstr>F_Lump_Sum_Payments_Dtls</vt:lpstr>
      <vt:lpstr>G_Arrears_Dtls_E</vt:lpstr>
      <vt:lpstr>H_Arrears_Dtls_DE</vt:lpstr>
      <vt:lpstr>I_Gratuity_Dtls</vt:lpstr>
      <vt:lpstr>J_FBT_Dtls</vt:lpstr>
      <vt:lpstr>K_PAYE_Payment_Credits</vt:lpstr>
      <vt:lpstr>M_Affordable Housing Levy_Dtls</vt:lpstr>
      <vt:lpstr>M1_NITA_Levy_Dtls</vt:lpstr>
      <vt:lpstr>N_Tax_Due</vt:lpstr>
      <vt:lpstr>_Yr2007</vt:lpstr>
      <vt:lpstr>ArrearsDsblEmpPIN</vt:lpstr>
      <vt:lpstr>ArrearsEmpPIN</vt:lpstr>
      <vt:lpstr>BodyType</vt:lpstr>
      <vt:lpstr>BodyTypeCode</vt:lpstr>
      <vt:lpstr>Boolean</vt:lpstr>
      <vt:lpstr>CalPayeTaxPyblOnGratI.List</vt:lpstr>
      <vt:lpstr>CalPayeTaxPyblOnGratII.List</vt:lpstr>
      <vt:lpstr>CalPayeTaxPyblOnGratIListTO</vt:lpstr>
      <vt:lpstr>CarBenefit.List</vt:lpstr>
      <vt:lpstr>CarBenefitListTO</vt:lpstr>
      <vt:lpstr>CarBnftUnq</vt:lpstr>
      <vt:lpstr>CarBnftValue</vt:lpstr>
      <vt:lpstr>CarType</vt:lpstr>
      <vt:lpstr>CarTypeCode</vt:lpstr>
      <vt:lpstr>ClcTaxDue.ArrDsblEmpTO</vt:lpstr>
      <vt:lpstr>ClcTaxDue.ArrEmpTO</vt:lpstr>
      <vt:lpstr>ClcTaxDue.DsblEmpTO</vt:lpstr>
      <vt:lpstr>ClcTaxDue.EmpTO</vt:lpstr>
      <vt:lpstr>ClcTaxDue.FringeBenfTO</vt:lpstr>
      <vt:lpstr>ClcTaxDue.GratListTO</vt:lpstr>
      <vt:lpstr>ClcTaxDue.LumpSumTO</vt:lpstr>
      <vt:lpstr>ClcTaxDue.NetPayeTaxPybl</vt:lpstr>
      <vt:lpstr>ClcTaxDue.PrevMonPaye</vt:lpstr>
      <vt:lpstr>ClcTaxDue.TaxAdvPdTO</vt:lpstr>
      <vt:lpstr>ClcTaxDue.TaxDedEmpWithoutPin</vt:lpstr>
      <vt:lpstr>ClcTaxDue.totalHousingContribution</vt:lpstr>
      <vt:lpstr>ClcTaxDue.totalNITAContribution</vt:lpstr>
      <vt:lpstr>ClcTaxDue.TotEmpRcrds</vt:lpstr>
      <vt:lpstr>ClcTaxDue.TotHousingLevyMemb</vt:lpstr>
      <vt:lpstr>ClcTaxDue.TotNITALevyMemb</vt:lpstr>
      <vt:lpstr>ClcTaxDue.TotPayeTaxPybl</vt:lpstr>
      <vt:lpstr>ClcTaxDue.TotTaxPybl</vt:lpstr>
      <vt:lpstr>DtlsArrSalPdBftsPayeDedFrmDsblEmp.List</vt:lpstr>
      <vt:lpstr>DtlsArrSalPdBftsPayeDedFrmDsblEmpListTO</vt:lpstr>
      <vt:lpstr>DtlsArrSalPdBftsPayeDedFrmEmp.List</vt:lpstr>
      <vt:lpstr>DtlsArrSalPdBftsPayeDedFrmEmpListTO</vt:lpstr>
      <vt:lpstr>DtlsArrSalPdBftsPayeSelfPayeListTO</vt:lpstr>
      <vt:lpstr>DtlsPaye.SelfAssTaxPaidList</vt:lpstr>
      <vt:lpstr>DtlsPaye.TaxPaidAdvList</vt:lpstr>
      <vt:lpstr>DtlsPayeFinalTaxPdTO</vt:lpstr>
      <vt:lpstr>DtlsPayeSelfAssTaxListTO</vt:lpstr>
      <vt:lpstr>DtlsPayeTaxPaidAdvListTO</vt:lpstr>
      <vt:lpstr>DtlsSalPdArrearDEListTO</vt:lpstr>
      <vt:lpstr>DtlsSalPdBftsPayeDedFrmDsblEmp.List</vt:lpstr>
      <vt:lpstr>DtlsSalPdBftsPayeDedFrmDsblEmpListTO</vt:lpstr>
      <vt:lpstr>DtlsSalPdBftsPayeDedFrmEmp.List</vt:lpstr>
      <vt:lpstr>DtlsSalPdBftsPayeDedFrmEmpListTO</vt:lpstr>
      <vt:lpstr>DtlsSalPdBftsSelfPayTaxDEListTO</vt:lpstr>
      <vt:lpstr>DtlsSalPdBftsSelfPayTaxListTO</vt:lpstr>
      <vt:lpstr>EntityCode</vt:lpstr>
      <vt:lpstr>EntityType</vt:lpstr>
      <vt:lpstr>EntityTypeCodeCol</vt:lpstr>
      <vt:lpstr>formId</vt:lpstr>
      <vt:lpstr>FringeBenf.TaxCalcList</vt:lpstr>
      <vt:lpstr>FringeBenfTaxCalcListTO</vt:lpstr>
      <vt:lpstr>genXML</vt:lpstr>
      <vt:lpstr>GratuityPIN</vt:lpstr>
      <vt:lpstr>HolderPolicy</vt:lpstr>
      <vt:lpstr>HolderPolicyCode</vt:lpstr>
      <vt:lpstr>HousingLevyDtls</vt:lpstr>
      <vt:lpstr>HousinglevyTo</vt:lpstr>
      <vt:lpstr>InsReliefDtls.List</vt:lpstr>
      <vt:lpstr>InsReliefDtlsListTO</vt:lpstr>
      <vt:lpstr>InsReliefPINEmp</vt:lpstr>
      <vt:lpstr>InsReliefUnq</vt:lpstr>
      <vt:lpstr>InsReliefValue</vt:lpstr>
      <vt:lpstr>labelForMonthlyPerReliefB</vt:lpstr>
      <vt:lpstr>labelForMonthlyPerReliefC</vt:lpstr>
      <vt:lpstr>labelForMonthlyPerReliefG</vt:lpstr>
      <vt:lpstr>labelForMonthlyPerReliefH</vt:lpstr>
      <vt:lpstr>labelForYearChangeSecB</vt:lpstr>
      <vt:lpstr>labelForYearChangeSecC</vt:lpstr>
      <vt:lpstr>labelForYearChangeSecG</vt:lpstr>
      <vt:lpstr>labelForYearChangeSecH</vt:lpstr>
      <vt:lpstr>moduleId</vt:lpstr>
      <vt:lpstr>MonthCode</vt:lpstr>
      <vt:lpstr>MonthList</vt:lpstr>
      <vt:lpstr>MsgAlpha</vt:lpstr>
      <vt:lpstr>MsgAlpNum</vt:lpstr>
      <vt:lpstr>MsgAlpNumSpl</vt:lpstr>
      <vt:lpstr>MsgDateFrmt</vt:lpstr>
      <vt:lpstr>MsgEmpEndDt</vt:lpstr>
      <vt:lpstr>MsgEmpStrtDt</vt:lpstr>
      <vt:lpstr>MsgFutureDt</vt:lpstr>
      <vt:lpstr>MsgMandat</vt:lpstr>
      <vt:lpstr>MsgNum</vt:lpstr>
      <vt:lpstr>MsgPINDup</vt:lpstr>
      <vt:lpstr>msgPositvNum</vt:lpstr>
      <vt:lpstr>MsgRtnMonth</vt:lpstr>
      <vt:lpstr>MsgRtnPrdDt</vt:lpstr>
      <vt:lpstr>MsgYearVal1</vt:lpstr>
      <vt:lpstr>MsgYearVal2</vt:lpstr>
      <vt:lpstr>NITALevyDtls</vt:lpstr>
      <vt:lpstr>NITAlevyTo</vt:lpstr>
      <vt:lpstr>obligationId</vt:lpstr>
      <vt:lpstr>officeVersion</vt:lpstr>
      <vt:lpstr>OtherYear</vt:lpstr>
      <vt:lpstr>OtherYear2</vt:lpstr>
      <vt:lpstr>PINSrNo</vt:lpstr>
      <vt:lpstr>PolicyCode</vt:lpstr>
      <vt:lpstr>PurposeOfPolicy</vt:lpstr>
      <vt:lpstr>RefSchedules</vt:lpstr>
      <vt:lpstr>RefSchedulesCode</vt:lpstr>
      <vt:lpstr>ResidentStatus</vt:lpstr>
      <vt:lpstr>ResidentStatusC</vt:lpstr>
      <vt:lpstr>ResidentStatusCode</vt:lpstr>
      <vt:lpstr>ResidentStatusD</vt:lpstr>
      <vt:lpstr>ResidentStatusH</vt:lpstr>
      <vt:lpstr>ResidentStatusI</vt:lpstr>
      <vt:lpstr>RetInf.arrearStartDate</vt:lpstr>
      <vt:lpstr>RetInf.DatePaymentStartDate</vt:lpstr>
      <vt:lpstr>RetInf.DepositStartDate</vt:lpstr>
      <vt:lpstr>ReturnType</vt:lpstr>
      <vt:lpstr>ReturnTypeCode</vt:lpstr>
      <vt:lpstr>RtnInf.EntityCode</vt:lpstr>
      <vt:lpstr>RtnInf.EntityType</vt:lpstr>
      <vt:lpstr>RtnInf.Month</vt:lpstr>
      <vt:lpstr>RtnInf.MonthCode</vt:lpstr>
      <vt:lpstr>RtnInf.ReturnType</vt:lpstr>
      <vt:lpstr>RtnInf.RtnMonth</vt:lpstr>
      <vt:lpstr>RtnInf.RtnPrdFrom</vt:lpstr>
      <vt:lpstr>RtnInf.RtnPrdTo</vt:lpstr>
      <vt:lpstr>RtnInf.RtnPrdToAct</vt:lpstr>
      <vt:lpstr>RtnInf.RtnPrdToActStart</vt:lpstr>
      <vt:lpstr>RtnInf.RtnYear</vt:lpstr>
      <vt:lpstr>RtnInf.TaxPayersPIN</vt:lpstr>
      <vt:lpstr>SalDedDsbEmpPIN</vt:lpstr>
      <vt:lpstr>SalDedEmpPIN</vt:lpstr>
      <vt:lpstr>SlabRate1998</vt:lpstr>
      <vt:lpstr>SlabRate1999</vt:lpstr>
      <vt:lpstr>SlabRate2000</vt:lpstr>
      <vt:lpstr>SlabRate2001</vt:lpstr>
      <vt:lpstr>SlabRate2002</vt:lpstr>
      <vt:lpstr>SlabRate2003</vt:lpstr>
      <vt:lpstr>SlabRate2004</vt:lpstr>
      <vt:lpstr>SlabRate2005</vt:lpstr>
      <vt:lpstr>SlabRate2006</vt:lpstr>
      <vt:lpstr>SlabRate2007</vt:lpstr>
      <vt:lpstr>SlabRate2008</vt:lpstr>
      <vt:lpstr>SlabRate2009</vt:lpstr>
      <vt:lpstr>SlabRate2010</vt:lpstr>
      <vt:lpstr>SlabRate2011</vt:lpstr>
      <vt:lpstr>SlabRate2012</vt:lpstr>
      <vt:lpstr>SlabRate2013</vt:lpstr>
      <vt:lpstr>SlabRate2014</vt:lpstr>
      <vt:lpstr>SlabRate2015</vt:lpstr>
      <vt:lpstr>SlabRate2016</vt:lpstr>
      <vt:lpstr>SlabRate2017</vt:lpstr>
      <vt:lpstr>SlabRate2018</vt:lpstr>
      <vt:lpstr>SlabRate2019</vt:lpstr>
      <vt:lpstr>SlabRate2020</vt:lpstr>
      <vt:lpstr>SlabRate2021</vt:lpstr>
      <vt:lpstr>SlabRate2022</vt:lpstr>
      <vt:lpstr>SlabRate2023</vt:lpstr>
      <vt:lpstr>SlabRate2024</vt:lpstr>
      <vt:lpstr>SortedBodyType</vt:lpstr>
      <vt:lpstr>SortedCarType</vt:lpstr>
      <vt:lpstr>SortedEntityType</vt:lpstr>
      <vt:lpstr>SortedMonthList</vt:lpstr>
      <vt:lpstr>SortedResidentStatus</vt:lpstr>
      <vt:lpstr>SortedResidentStatustemp</vt:lpstr>
      <vt:lpstr>SortedTypeOfHousing</vt:lpstr>
      <vt:lpstr>TaxPayable</vt:lpstr>
      <vt:lpstr>TaxPdOnLumpSumPdAftrTrmtn.List</vt:lpstr>
      <vt:lpstr>TaxPdOnLumpSumPdAftrTrmtnListTO</vt:lpstr>
      <vt:lpstr>templateInfo.formId</vt:lpstr>
      <vt:lpstr>templateInfo.moduleId</vt:lpstr>
      <vt:lpstr>templateInfo.obligId</vt:lpstr>
      <vt:lpstr>templateInfo.ofcVrsn</vt:lpstr>
      <vt:lpstr>templateInfo.tempType</vt:lpstr>
      <vt:lpstr>templateInfo.tempVrsn</vt:lpstr>
      <vt:lpstr>templateType</vt:lpstr>
      <vt:lpstr>TotHousingMembers</vt:lpstr>
      <vt:lpstr>TotHousingMembersLst</vt:lpstr>
      <vt:lpstr>TotNITAMembers</vt:lpstr>
      <vt:lpstr>TypeOFEmp</vt:lpstr>
      <vt:lpstr>TypeOFEmpCode</vt:lpstr>
      <vt:lpstr>TypeOfHousing</vt:lpstr>
      <vt:lpstr>TypeOfHousingCode</vt:lpstr>
      <vt:lpstr>visibleSheetsArr</vt:lpstr>
      <vt:lpstr>YearList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RUTH WANJIRU NJUGUNA</dc:creator>
  <cp:lastModifiedBy>Book Smart</cp:lastModifiedBy>
  <cp:lastPrinted>2017-12-07T09:13:33Z</cp:lastPrinted>
  <dcterms:created xsi:type="dcterms:W3CDTF">2013-08-30T14:29:57Z</dcterms:created>
  <dcterms:modified xsi:type="dcterms:W3CDTF">2024-12-04T05:59:42Z</dcterms:modified>
</cp:coreProperties>
</file>